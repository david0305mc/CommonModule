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\abyss_toss_prj\ExcelTable\"/>
    </mc:Choice>
  </mc:AlternateContent>
  <xr:revisionPtr revIDLastSave="0" documentId="13_ncr:1_{123C1F60-D003-4608-8523-546D2BDB611B}" xr6:coauthVersionLast="47" xr6:coauthVersionMax="47" xr10:uidLastSave="{00000000-0000-0000-0000-000000000000}"/>
  <bookViews>
    <workbookView xWindow="38280" yWindow="-195" windowWidth="38640" windowHeight="21120" tabRatio="894" activeTab="4" xr2:uid="{00000000-000D-0000-FFFF-FFFF00000000}"/>
  </bookViews>
  <sheets>
    <sheet name="DailyMission" sheetId="18" r:id="rId1"/>
    <sheet name="Achievement" sheetId="19" r:id="rId2"/>
    <sheet name="Collection" sheetId="20" r:id="rId3"/>
    <sheet name="CollectionItem" sheetId="21" r:id="rId4"/>
    <sheet name="GuideMission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2" l="1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4" i="22"/>
  <c r="N119" i="22"/>
  <c r="N120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4" i="22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34" i="19"/>
  <c r="C35" i="19"/>
  <c r="A35" i="19" s="1"/>
  <c r="C36" i="19"/>
  <c r="C37" i="19"/>
  <c r="C38" i="19"/>
  <c r="C39" i="19"/>
  <c r="C40" i="19"/>
  <c r="C41" i="19"/>
  <c r="A41" i="19" s="1"/>
  <c r="C42" i="19"/>
  <c r="A42" i="19" s="1"/>
  <c r="C43" i="19"/>
  <c r="A43" i="19" s="1"/>
  <c r="C44" i="19"/>
  <c r="A44" i="19" s="1"/>
  <c r="C45" i="19"/>
  <c r="A45" i="19" s="1"/>
  <c r="C46" i="19"/>
  <c r="A46" i="19" s="1"/>
  <c r="C47" i="19"/>
  <c r="A47" i="19" s="1"/>
  <c r="C48" i="19"/>
  <c r="A48" i="19" s="1"/>
  <c r="C49" i="19"/>
  <c r="A49" i="19" s="1"/>
  <c r="C50" i="19"/>
  <c r="A50" i="19" s="1"/>
  <c r="C51" i="19"/>
  <c r="A51" i="19" s="1"/>
  <c r="C52" i="19"/>
  <c r="A52" i="19" s="1"/>
  <c r="C53" i="19"/>
  <c r="A53" i="19" s="1"/>
  <c r="C54" i="19"/>
  <c r="A54" i="19" s="1"/>
  <c r="C55" i="19"/>
  <c r="A55" i="19" s="1"/>
  <c r="C56" i="19"/>
  <c r="A56" i="19" s="1"/>
  <c r="C57" i="19"/>
  <c r="A57" i="19" s="1"/>
  <c r="C58" i="19"/>
  <c r="A58" i="19" s="1"/>
  <c r="C59" i="19"/>
  <c r="A59" i="19" s="1"/>
  <c r="C60" i="19"/>
  <c r="A60" i="19" s="1"/>
  <c r="C61" i="19"/>
  <c r="A61" i="19" s="1"/>
  <c r="C62" i="19"/>
  <c r="A62" i="19" s="1"/>
  <c r="C63" i="19"/>
  <c r="A63" i="19" s="1"/>
  <c r="C64" i="19"/>
  <c r="A64" i="19" s="1"/>
  <c r="C65" i="19"/>
  <c r="A65" i="19" s="1"/>
  <c r="C66" i="19"/>
  <c r="A66" i="19" s="1"/>
  <c r="C67" i="19"/>
  <c r="A67" i="19" s="1"/>
  <c r="C68" i="19"/>
  <c r="A68" i="19" s="1"/>
  <c r="C69" i="19"/>
  <c r="A69" i="19" s="1"/>
  <c r="C70" i="19"/>
  <c r="A70" i="19" s="1"/>
  <c r="C71" i="19"/>
  <c r="A71" i="19" s="1"/>
  <c r="C72" i="19"/>
  <c r="A72" i="19" s="1"/>
  <c r="C73" i="19"/>
  <c r="A73" i="19" s="1"/>
  <c r="C74" i="19"/>
  <c r="A74" i="19" s="1"/>
  <c r="C75" i="19"/>
  <c r="A75" i="19" s="1"/>
  <c r="C76" i="19"/>
  <c r="A76" i="19" s="1"/>
  <c r="C77" i="19"/>
  <c r="A77" i="19" s="1"/>
  <c r="C78" i="19"/>
  <c r="A78" i="19" s="1"/>
  <c r="C79" i="19"/>
  <c r="A79" i="19" s="1"/>
  <c r="C80" i="19"/>
  <c r="A80" i="19" s="1"/>
  <c r="C81" i="19"/>
  <c r="A81" i="19" s="1"/>
  <c r="C82" i="19"/>
  <c r="A82" i="19" s="1"/>
  <c r="C83" i="19"/>
  <c r="A83" i="19" s="1"/>
  <c r="C84" i="19"/>
  <c r="A84" i="19" s="1"/>
  <c r="C85" i="19"/>
  <c r="A85" i="19" s="1"/>
  <c r="C86" i="19"/>
  <c r="A86" i="19" s="1"/>
  <c r="C87" i="19"/>
  <c r="A87" i="19" s="1"/>
  <c r="C88" i="19"/>
  <c r="A88" i="19" s="1"/>
  <c r="C89" i="19"/>
  <c r="A89" i="19" s="1"/>
  <c r="C90" i="19"/>
  <c r="A90" i="19" s="1"/>
  <c r="C91" i="19"/>
  <c r="A91" i="19" s="1"/>
  <c r="C92" i="19"/>
  <c r="A92" i="19" s="1"/>
  <c r="C93" i="19"/>
  <c r="A93" i="19" s="1"/>
  <c r="A7" i="19"/>
  <c r="A9" i="19"/>
  <c r="A14" i="19"/>
  <c r="A24" i="19"/>
  <c r="A34" i="19"/>
  <c r="A36" i="19"/>
  <c r="A37" i="19"/>
  <c r="A38" i="19"/>
  <c r="A39" i="19"/>
  <c r="A40" i="19"/>
  <c r="C10" i="19"/>
  <c r="A10" i="19" s="1"/>
  <c r="C11" i="19"/>
  <c r="A11" i="19" s="1"/>
  <c r="C12" i="19"/>
  <c r="A12" i="19" s="1"/>
  <c r="C13" i="19"/>
  <c r="A13" i="19" s="1"/>
  <c r="C14" i="19"/>
  <c r="C15" i="19"/>
  <c r="A15" i="19" s="1"/>
  <c r="C16" i="19"/>
  <c r="A16" i="19" s="1"/>
  <c r="C17" i="19"/>
  <c r="A17" i="19" s="1"/>
  <c r="C18" i="19"/>
  <c r="A18" i="19" s="1"/>
  <c r="C19" i="19"/>
  <c r="A19" i="19" s="1"/>
  <c r="C20" i="19"/>
  <c r="A20" i="19" s="1"/>
  <c r="C21" i="19"/>
  <c r="A21" i="19" s="1"/>
  <c r="C22" i="19"/>
  <c r="A22" i="19" s="1"/>
  <c r="C23" i="19"/>
  <c r="A23" i="19" s="1"/>
  <c r="C24" i="19"/>
  <c r="C25" i="19"/>
  <c r="A25" i="19" s="1"/>
  <c r="C26" i="19"/>
  <c r="A26" i="19" s="1"/>
  <c r="C27" i="19"/>
  <c r="A27" i="19" s="1"/>
  <c r="C28" i="19"/>
  <c r="A28" i="19" s="1"/>
  <c r="C29" i="19"/>
  <c r="A29" i="19" s="1"/>
  <c r="C30" i="19"/>
  <c r="A30" i="19" s="1"/>
  <c r="C31" i="19"/>
  <c r="A31" i="19" s="1"/>
  <c r="C32" i="19"/>
  <c r="A32" i="19" s="1"/>
  <c r="C33" i="19"/>
  <c r="A33" i="19" s="1"/>
  <c r="C5" i="19"/>
  <c r="A5" i="19" s="1"/>
  <c r="C6" i="19"/>
  <c r="A6" i="19" s="1"/>
  <c r="C7" i="19"/>
  <c r="C8" i="19"/>
  <c r="A8" i="19" s="1"/>
  <c r="C9" i="19"/>
  <c r="C4" i="19"/>
  <c r="A4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tc={75783F8C-D6A4-42B5-969E-86D123C58DC8}</author>
  </authors>
  <commentList>
    <comment ref="D1" authorId="0" shapeId="0" xr:uid="{75783F8C-D6A4-42B5-969E-86D123C58D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물고기 id
장식 id</t>
      </text>
    </comment>
  </commentList>
</comments>
</file>

<file path=xl/sharedStrings.xml><?xml version="1.0" encoding="utf-8"?>
<sst xmlns="http://schemas.openxmlformats.org/spreadsheetml/2006/main" count="1100" uniqueCount="484">
  <si>
    <t>Id</t>
    <phoneticPr fontId="1" type="noConversion"/>
  </si>
  <si>
    <t>FName</t>
  </si>
  <si>
    <t>int</t>
  </si>
  <si>
    <t>string</t>
  </si>
  <si>
    <t>all</t>
  </si>
  <si>
    <t>nodata</t>
  </si>
  <si>
    <t>client</t>
  </si>
  <si>
    <t>ListOrder</t>
  </si>
  <si>
    <t>UnlockType</t>
  </si>
  <si>
    <t>UnlockTarget</t>
  </si>
  <si>
    <t>UnlockValue</t>
  </si>
  <si>
    <t>IsLast</t>
  </si>
  <si>
    <t>AdBonusReward</t>
  </si>
  <si>
    <t>MissionType</t>
  </si>
  <si>
    <t>MissionTarget</t>
  </si>
  <si>
    <t>MissionValue</t>
  </si>
  <si>
    <t>MissionDesc</t>
  </si>
  <si>
    <t>RewardType</t>
  </si>
  <si>
    <t>RewardId</t>
  </si>
  <si>
    <t>RewardCnt</t>
  </si>
  <si>
    <t>Name</t>
  </si>
  <si>
    <t>IconName</t>
  </si>
  <si>
    <t>Slot</t>
    <phoneticPr fontId="4" type="noConversion"/>
  </si>
  <si>
    <t>Step</t>
    <phoneticPr fontId="4" type="noConversion"/>
  </si>
  <si>
    <t>FName</t>
    <phoneticPr fontId="4" type="noConversion"/>
  </si>
  <si>
    <t>MissionType</t>
    <phoneticPr fontId="4" type="noConversion"/>
  </si>
  <si>
    <t>MissionTarget</t>
    <phoneticPr fontId="4" type="noConversion"/>
  </si>
  <si>
    <t>MissionValue</t>
    <phoneticPr fontId="4" type="noConversion"/>
  </si>
  <si>
    <t>MissionDesc</t>
    <phoneticPr fontId="4" type="noConversion"/>
  </si>
  <si>
    <t>RewardType</t>
    <phoneticPr fontId="4" type="noConversion"/>
  </si>
  <si>
    <t>RewardId</t>
    <phoneticPr fontId="4" type="noConversion"/>
  </si>
  <si>
    <t>RewardCnt</t>
    <phoneticPr fontId="4" type="noConversion"/>
  </si>
  <si>
    <t>IconName</t>
    <phoneticPr fontId="4" type="noConversion"/>
  </si>
  <si>
    <t>Title</t>
    <phoneticPr fontId="4" type="noConversion"/>
  </si>
  <si>
    <t>int</t>
    <phoneticPr fontId="4" type="noConversion"/>
  </si>
  <si>
    <t>string</t>
    <phoneticPr fontId="4" type="noConversion"/>
  </si>
  <si>
    <t>all</t>
    <phoneticPr fontId="5" type="noConversion"/>
  </si>
  <si>
    <t>nodata</t>
    <phoneticPr fontId="5" type="noConversion"/>
  </si>
  <si>
    <t>client</t>
    <phoneticPr fontId="5" type="noConversion"/>
  </si>
  <si>
    <t>Id</t>
    <phoneticPr fontId="4" type="noConversion"/>
  </si>
  <si>
    <t>Name</t>
    <phoneticPr fontId="4" type="noConversion"/>
  </si>
  <si>
    <t>RewardIdx</t>
    <phoneticPr fontId="4" type="noConversion"/>
  </si>
  <si>
    <t>Order</t>
    <phoneticPr fontId="4" type="noConversion"/>
  </si>
  <si>
    <t>all</t>
    <phoneticPr fontId="4" type="noConversion"/>
  </si>
  <si>
    <t>nodata</t>
    <phoneticPr fontId="4" type="noConversion"/>
  </si>
  <si>
    <t>작은 친구들</t>
  </si>
  <si>
    <t>ObjectIdx</t>
    <phoneticPr fontId="4" type="noConversion"/>
  </si>
  <si>
    <t>ObjectCnt</t>
    <phoneticPr fontId="4" type="noConversion"/>
  </si>
  <si>
    <t>블루탱</t>
  </si>
  <si>
    <t>옐로우탱</t>
  </si>
  <si>
    <t>id</t>
    <phoneticPr fontId="4" type="noConversion"/>
  </si>
  <si>
    <t>CollectionID</t>
    <phoneticPr fontId="4" type="noConversion"/>
  </si>
  <si>
    <t>use_skill</t>
  </si>
  <si>
    <t>통통한 친구들</t>
  </si>
  <si>
    <t>회전목마</t>
  </si>
  <si>
    <t>바다의 천사들</t>
  </si>
  <si>
    <t>딱딱한 등껍질</t>
  </si>
  <si>
    <t>collection_0_pacific</t>
  </si>
  <si>
    <t>collection_0_atlantic</t>
  </si>
  <si>
    <t>collection_0_indian</t>
  </si>
  <si>
    <t>collection_0_antarctic</t>
  </si>
  <si>
    <t>collection_0_arctic</t>
  </si>
  <si>
    <t>collection_1_pacific</t>
  </si>
  <si>
    <t>collection_1_atlantic</t>
  </si>
  <si>
    <t>collection_1_indian</t>
  </si>
  <si>
    <t>collection_1_antarctic</t>
  </si>
  <si>
    <t>collection_1_arctic</t>
  </si>
  <si>
    <t>collection_2_pacific</t>
  </si>
  <si>
    <t>collection_2_atlantic</t>
  </si>
  <si>
    <t>collection_2_indian</t>
  </si>
  <si>
    <t>collection_2_antarctic</t>
  </si>
  <si>
    <t>collection_2_arctic</t>
  </si>
  <si>
    <t>collection_3_pacific</t>
  </si>
  <si>
    <t>collection_3_atlantic</t>
  </si>
  <si>
    <t>collection_3_indian</t>
  </si>
  <si>
    <t>collection_3_antarctic</t>
  </si>
  <si>
    <t>collection_3_arctic</t>
  </si>
  <si>
    <t>collect_normal_1</t>
  </si>
  <si>
    <t>collect_normal_2</t>
  </si>
  <si>
    <t>collect_normal_3</t>
  </si>
  <si>
    <t>collect_normal_4</t>
  </si>
  <si>
    <t>collect_normal_5</t>
  </si>
  <si>
    <t>collect_normal_6</t>
  </si>
  <si>
    <t>collect_normal_7</t>
  </si>
  <si>
    <t>collect_normal_8</t>
  </si>
  <si>
    <t>collect_normal_9</t>
  </si>
  <si>
    <t>collect_normal_10</t>
  </si>
  <si>
    <t>collect_normal_11</t>
  </si>
  <si>
    <t>collect_normal_12</t>
  </si>
  <si>
    <t>collect_normal_13</t>
  </si>
  <si>
    <t>collect_normal_14</t>
  </si>
  <si>
    <t>collect_normal_15</t>
  </si>
  <si>
    <t>collect_normal_16</t>
  </si>
  <si>
    <t>collect_normal_17</t>
  </si>
  <si>
    <t>collect_normal_18</t>
  </si>
  <si>
    <t>collect_normal_19</t>
  </si>
  <si>
    <t>collect_normal_20</t>
  </si>
  <si>
    <t>퍼큘라 크라운</t>
  </si>
  <si>
    <t>레드 크라운</t>
  </si>
  <si>
    <t>블루 크라운</t>
  </si>
  <si>
    <t>아킬레스 탱</t>
  </si>
  <si>
    <t>임페리얼 앤젤</t>
  </si>
  <si>
    <t>바이컬러 앤젤</t>
  </si>
  <si>
    <t>블루 패럿피쉬</t>
  </si>
  <si>
    <t>레드 패럿피쉬</t>
  </si>
  <si>
    <t>이스턴 스무스 박스피쉬 복어</t>
  </si>
  <si>
    <t>옐로우 박스피쉬 복어</t>
  </si>
  <si>
    <t>크라운 트리거 복어</t>
  </si>
  <si>
    <t>페퍼민트 앤젤</t>
  </si>
  <si>
    <t>오렌지 해마</t>
  </si>
  <si>
    <t>블랙 해마</t>
  </si>
  <si>
    <t>브라질리언 해마</t>
  </si>
  <si>
    <t>배불뚝이 해마</t>
  </si>
  <si>
    <t>보름달 물 해파리</t>
  </si>
  <si>
    <t>야광원양해파리</t>
  </si>
  <si>
    <t>켐프각시 바다거북</t>
  </si>
  <si>
    <t>붉은 바다거북</t>
  </si>
  <si>
    <t>초록 바다거북</t>
  </si>
  <si>
    <t>대모 거북</t>
  </si>
  <si>
    <t>가죽등 거북</t>
  </si>
  <si>
    <t>실러캔스</t>
  </si>
  <si>
    <t>바티노무스</t>
  </si>
  <si>
    <t>앵무조개</t>
  </si>
  <si>
    <t>청새치</t>
  </si>
  <si>
    <t>파이어 고비</t>
  </si>
  <si>
    <t>블루 밴디드 고비</t>
  </si>
  <si>
    <t>헬프리치 고비</t>
  </si>
  <si>
    <t>블랙 &amp; 골드 담셀</t>
  </si>
  <si>
    <t>블루 핀 담셀</t>
  </si>
  <si>
    <t>점박이 매가오리</t>
  </si>
  <si>
    <t>만타 가오리</t>
  </si>
  <si>
    <t>병코 돌고래</t>
  </si>
  <si>
    <t>이라와디 돌고래</t>
  </si>
  <si>
    <t>열대얼룩 돌고래</t>
  </si>
  <si>
    <t>분홍 돌고래</t>
  </si>
  <si>
    <t>긴꼬리상어</t>
  </si>
  <si>
    <t>얼룩말상어</t>
  </si>
  <si>
    <t>망치상어</t>
  </si>
  <si>
    <t>백상어</t>
  </si>
  <si>
    <t>갑오징어</t>
  </si>
  <si>
    <t>뱀파이어 오징어</t>
  </si>
  <si>
    <t>피글렛 오징어</t>
  </si>
  <si>
    <t>콜로살 오징어</t>
  </si>
  <si>
    <t>크로스 담셀</t>
  </si>
  <si>
    <t>버지스 나비</t>
  </si>
  <si>
    <t>라쿤 나비</t>
  </si>
  <si>
    <t>줄나비</t>
  </si>
  <si>
    <t>트라이앵글 나비</t>
  </si>
  <si>
    <t>꼬마향고래</t>
  </si>
  <si>
    <t>나뭇잎 해룡</t>
  </si>
  <si>
    <t>리본 해룡</t>
  </si>
  <si>
    <t>풀잎 해룡</t>
  </si>
  <si>
    <t>붉은 풀잎해룡</t>
  </si>
  <si>
    <t>대왕 해룡</t>
  </si>
  <si>
    <t>고래상어</t>
  </si>
  <si>
    <t>크라운 탱</t>
  </si>
  <si>
    <t>주얼 담셀</t>
  </si>
  <si>
    <t>개복치</t>
  </si>
  <si>
    <t>톱가오리</t>
  </si>
  <si>
    <t>수구리</t>
  </si>
  <si>
    <t>벨루가</t>
  </si>
  <si>
    <t>바다돼지</t>
  </si>
  <si>
    <t>납작 앨퉁이</t>
  </si>
  <si>
    <t>넓은주둥이상어</t>
  </si>
  <si>
    <t>돌묵상어</t>
  </si>
  <si>
    <t>스팟티드 박스피쉬 복어</t>
  </si>
  <si>
    <t>마히마히</t>
  </si>
  <si>
    <t>파자마 카디날</t>
  </si>
  <si>
    <t>듀공</t>
  </si>
  <si>
    <t>미갈루</t>
  </si>
  <si>
    <t>스팟 만다린</t>
  </si>
  <si>
    <t>스프링거 도티백</t>
  </si>
  <si>
    <t>쥬브나일 핀아트 스페이드 피쉬</t>
  </si>
  <si>
    <t>피그미 해마</t>
  </si>
  <si>
    <t>문어</t>
  </si>
  <si>
    <t>팬더 그루퍼</t>
  </si>
  <si>
    <t>블롭 피쉬</t>
  </si>
  <si>
    <t>롱혼 카우피쉬 복어</t>
  </si>
  <si>
    <t>낙타 거북복</t>
  </si>
  <si>
    <t>대왕 오징어</t>
  </si>
  <si>
    <t>대왕 수구리</t>
  </si>
  <si>
    <t>향유고래</t>
  </si>
  <si>
    <t>범고래</t>
  </si>
  <si>
    <t>일각고래</t>
  </si>
  <si>
    <t>흰긴수염고래</t>
  </si>
  <si>
    <t>천년 흰긴수염고래</t>
  </si>
  <si>
    <t>알록달록 바다</t>
  </si>
  <si>
    <t>골목대장</t>
  </si>
  <si>
    <t>천사들의 군무</t>
  </si>
  <si>
    <t>반짝반짝 해파리</t>
  </si>
  <si>
    <t>고대어 등장!</t>
  </si>
  <si>
    <t>태평양의 청새치들</t>
  </si>
  <si>
    <t>만타가오리의 그림자</t>
  </si>
  <si>
    <t>안녕 돌고래?</t>
  </si>
  <si>
    <t>무서운 상어소굴</t>
  </si>
  <si>
    <t>심해의 오징어</t>
  </si>
  <si>
    <t>작은고래와 친구들</t>
  </si>
  <si>
    <t>고래? 상어?</t>
  </si>
  <si>
    <t>벨루가는 나의 친구</t>
  </si>
  <si>
    <t>미갈루 발견!</t>
  </si>
  <si>
    <t>흰긴수염고래의 고향</t>
  </si>
  <si>
    <t>산호석 레벨</t>
    <phoneticPr fontId="5" type="noConversion"/>
  </si>
  <si>
    <t>산호 레벨 합계 {0} 달성</t>
    <phoneticPr fontId="5" type="noConversion"/>
  </si>
  <si>
    <t>물고기 {0} 종 수집</t>
    <phoneticPr fontId="5" type="noConversion"/>
  </si>
  <si>
    <t>탭 {0} 번</t>
    <phoneticPr fontId="5" type="noConversion"/>
  </si>
  <si>
    <t>스킬 {0} 번</t>
    <phoneticPr fontId="5" type="noConversion"/>
  </si>
  <si>
    <t>광고 {0} 번</t>
    <phoneticPr fontId="5" type="noConversion"/>
  </si>
  <si>
    <t>출석 {0}번</t>
    <phoneticPr fontId="5" type="noConversion"/>
  </si>
  <si>
    <t>ad_view</t>
  </si>
  <si>
    <t>touch_stone</t>
  </si>
  <si>
    <t>Icon_R1</t>
  </si>
  <si>
    <t>Icon_R3</t>
  </si>
  <si>
    <t>UI_Re_icon@a7</t>
  </si>
  <si>
    <t>UI_Re_icon@a1</t>
  </si>
  <si>
    <t>UI_Re_icon@a2</t>
  </si>
  <si>
    <t>UI_Re_icon@a3</t>
    <phoneticPr fontId="1" type="noConversion"/>
  </si>
  <si>
    <t>UI_Re_icon@a4</t>
  </si>
  <si>
    <t>more_achieve_item_3_title</t>
  </si>
  <si>
    <t>more_achieve_item_4_title</t>
  </si>
  <si>
    <t>more_achieve_item_5_title</t>
  </si>
  <si>
    <t>more_achieve_item_6_title</t>
  </si>
  <si>
    <t>more_achieve_item_9_title</t>
  </si>
  <si>
    <t>more_achieve_item_0_desc</t>
  </si>
  <si>
    <t>more_achieve_item_2_title</t>
  </si>
  <si>
    <t>more_achieve_item_0_title</t>
  </si>
  <si>
    <t>more_achieve_item_2_desc</t>
  </si>
  <si>
    <t>more_achieve_item_9_desc</t>
  </si>
  <si>
    <t>more_achieve_item_3_desc</t>
  </si>
  <si>
    <t>more_achieve_item_4_desc</t>
  </si>
  <si>
    <t>more_achieve_item_5_desc</t>
  </si>
  <si>
    <t>more_achieve_item_6_desc</t>
  </si>
  <si>
    <t>탭하기</t>
  </si>
  <si>
    <t>광고보기</t>
  </si>
  <si>
    <t>스킬 사용</t>
  </si>
  <si>
    <t>플레이 시간 15분</t>
    <phoneticPr fontId="1" type="noConversion"/>
  </si>
  <si>
    <t>daily_mission_0_title</t>
  </si>
  <si>
    <t>daily_mission_2_title</t>
  </si>
  <si>
    <t>daily_mission_3_title</t>
  </si>
  <si>
    <t>icon_dm_1</t>
  </si>
  <si>
    <t>icon_dm_3</t>
    <phoneticPr fontId="1" type="noConversion"/>
  </si>
  <si>
    <t>icon_dm_4</t>
    <phoneticPr fontId="1" type="noConversion"/>
  </si>
  <si>
    <t>icon_dm_6</t>
    <phoneticPr fontId="1" type="noConversion"/>
  </si>
  <si>
    <t>목탁 수구리</t>
  </si>
  <si>
    <t>세베 크라운피쉬</t>
  </si>
  <si>
    <t>토마토 크라운피쉬</t>
  </si>
  <si>
    <t>블랙핀 코랄 고비</t>
  </si>
  <si>
    <t>퍼플 고비</t>
  </si>
  <si>
    <t>화이트테일 탱</t>
  </si>
  <si>
    <t>아기 블루탱</t>
  </si>
  <si>
    <t>벨벳 담셀</t>
  </si>
  <si>
    <t>스리 스트라이프 담셀</t>
  </si>
  <si>
    <t>미드나잇 엔젤피쉬</t>
  </si>
  <si>
    <t>마제스틱 엔젤</t>
  </si>
  <si>
    <t>환도상어</t>
  </si>
  <si>
    <t>강남상어</t>
  </si>
  <si>
    <t>아기 상어</t>
  </si>
  <si>
    <t>아기 라쿤 나비</t>
  </si>
  <si>
    <t>바이칼라 패롯피시</t>
  </si>
  <si>
    <t>트라이칼라 패롯피쉬</t>
  </si>
  <si>
    <t>골든 푸퍼</t>
  </si>
  <si>
    <t>아기 옐로우 박스피쉬</t>
  </si>
  <si>
    <t>복해마</t>
  </si>
  <si>
    <t>가시 해마</t>
  </si>
  <si>
    <t>퍼시픽 해마</t>
  </si>
  <si>
    <t>캐스퍼 문어</t>
  </si>
  <si>
    <t>아기 우무 문어</t>
  </si>
  <si>
    <t>돼지코 거북</t>
  </si>
  <si>
    <t>아기 장수거북</t>
  </si>
  <si>
    <t>흰머리돌고래</t>
  </si>
  <si>
    <t>원핀 전기 가오리</t>
  </si>
  <si>
    <t>아기 만타 가오리</t>
  </si>
  <si>
    <t>고스트 샤크</t>
  </si>
  <si>
    <t>메갈로돈</t>
  </si>
  <si>
    <t>고양이 고래</t>
  </si>
  <si>
    <t>아기 일각고래</t>
  </si>
  <si>
    <t>퍼큘라 크라운 진화</t>
  </si>
  <si>
    <t>파이어 고비 진화</t>
  </si>
  <si>
    <t>블루탱 진화</t>
  </si>
  <si>
    <t>블랙 &amp; 골드 담셀 진화</t>
  </si>
  <si>
    <t>임페리얼 앤젤 진화</t>
  </si>
  <si>
    <t>블랙팁 샤크 진화</t>
  </si>
  <si>
    <t>버지스 나비 진화</t>
  </si>
  <si>
    <t>블루 패럿피쉬 진화</t>
  </si>
  <si>
    <t>이스턴 스무스 박스피쉬 복어 진화</t>
  </si>
  <si>
    <t>오렌지 해마 진화</t>
  </si>
  <si>
    <t>문어 진화</t>
  </si>
  <si>
    <t>붉은 바다거북 진화</t>
  </si>
  <si>
    <t>병코 돌고해 진화</t>
  </si>
  <si>
    <t>수구리 진화</t>
  </si>
  <si>
    <t>백상어 진화</t>
  </si>
  <si>
    <t>북극고래 진화</t>
  </si>
  <si>
    <t>ev_1</t>
  </si>
  <si>
    <t>ev_2</t>
  </si>
  <si>
    <t>ev_3</t>
  </si>
  <si>
    <t>ev_4</t>
  </si>
  <si>
    <t>ev_5</t>
  </si>
  <si>
    <t>ev_6</t>
  </si>
  <si>
    <t>ev_7</t>
  </si>
  <si>
    <t>ev_8</t>
  </si>
  <si>
    <t>ev_9</t>
  </si>
  <si>
    <t>ev_10</t>
  </si>
  <si>
    <t>ev_11</t>
  </si>
  <si>
    <t>ev_12</t>
  </si>
  <si>
    <t>ev_13</t>
  </si>
  <si>
    <t>ev_14</t>
  </si>
  <si>
    <t>ev_15</t>
  </si>
  <si>
    <t>ev_16</t>
  </si>
  <si>
    <t>NextMissionID</t>
    <phoneticPr fontId="4" type="noConversion"/>
  </si>
  <si>
    <t>GroupId</t>
    <phoneticPr fontId="4" type="noConversion"/>
  </si>
  <si>
    <t>NavType</t>
    <phoneticPr fontId="4" type="noConversion"/>
  </si>
  <si>
    <t>PageTutorialId</t>
    <phoneticPr fontId="4" type="noConversion"/>
  </si>
  <si>
    <t>ItemType</t>
    <phoneticPr fontId="4" type="noConversion"/>
  </si>
  <si>
    <r>
      <rPr>
        <sz val="11"/>
        <rFont val="맑은 고딕"/>
        <family val="3"/>
        <charset val="129"/>
      </rPr>
      <t>출석</t>
    </r>
    <r>
      <rPr>
        <sz val="11"/>
        <rFont val="Calibri"/>
        <family val="2"/>
      </rPr>
      <t xml:space="preserve"> {0}</t>
    </r>
    <r>
      <rPr>
        <sz val="11"/>
        <rFont val="맑은 고딕"/>
        <family val="3"/>
        <charset val="129"/>
      </rPr>
      <t>번</t>
    </r>
    <phoneticPr fontId="5" type="noConversion"/>
  </si>
  <si>
    <r>
      <rPr>
        <sz val="11"/>
        <rFont val="맑은 고딕"/>
        <family val="3"/>
        <charset val="129"/>
      </rPr>
      <t>진화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물고기</t>
    </r>
    <r>
      <rPr>
        <sz val="11"/>
        <rFont val="Calibri"/>
        <family val="2"/>
      </rPr>
      <t xml:space="preserve"> {0} </t>
    </r>
    <r>
      <rPr>
        <sz val="11"/>
        <rFont val="맑은 고딕"/>
        <family val="3"/>
        <charset val="129"/>
      </rPr>
      <t>마리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수집</t>
    </r>
    <phoneticPr fontId="1" type="noConversion"/>
  </si>
  <si>
    <t>more_achieve_item_7_desc</t>
    <phoneticPr fontId="1" type="noConversion"/>
  </si>
  <si>
    <t>more_achieve_item_7_title</t>
  </si>
  <si>
    <t>UI_Re_icon@a100</t>
    <phoneticPr fontId="1" type="noConversion"/>
  </si>
  <si>
    <t>산호석 20 레벨 달성</t>
  </si>
  <si>
    <t>stone_levelup</t>
  </si>
  <si>
    <t>산호석 터치하기 30회</t>
  </si>
  <si>
    <t>산호 레벨 합계 15 달성</t>
  </si>
  <si>
    <t>coral_levelup_all</t>
  </si>
  <si>
    <t>산호석 40 레벨 달성</t>
  </si>
  <si>
    <t>산호 레벨 합계 40 달성</t>
  </si>
  <si>
    <t>산호석 60 레벨 달성</t>
  </si>
  <si>
    <t>싱그러운 해초 필요</t>
  </si>
  <si>
    <t>buy_coral</t>
  </si>
  <si>
    <t>산호석 80 레벨 달성</t>
  </si>
  <si>
    <t>산호 레벨 합계 60 달성</t>
  </si>
  <si>
    <t>산호석 100 레벨 달성</t>
  </si>
  <si>
    <t>아무 스킬 사용 1회</t>
  </si>
  <si>
    <t>산호 레벨 합계 80 달성</t>
  </si>
  <si>
    <t>산호석 120 레벨 달성</t>
  </si>
  <si>
    <t>산호 레벨 합계 100 달성</t>
  </si>
  <si>
    <t>산호석 140 레벨 달성</t>
  </si>
  <si>
    <t>산호 레벨 합계 120 달성</t>
  </si>
  <si>
    <t>붉은 부채산호 필요</t>
  </si>
  <si>
    <t>산호 레벨 합계 140 달성</t>
  </si>
  <si>
    <t>산호 레벨 합계 160 달성</t>
  </si>
  <si>
    <t>산호석 160 레벨 달성</t>
  </si>
  <si>
    <t>산호 레벨 합계 200 달성</t>
  </si>
  <si>
    <t>산호석 170 레벨 달성</t>
  </si>
  <si>
    <t>산호석 180 레벨 달성</t>
  </si>
  <si>
    <t>산호 레벨 합계 240 달성</t>
  </si>
  <si>
    <t>아무 스킬 사용 2회</t>
  </si>
  <si>
    <t>산호석 190 레벨 달성</t>
  </si>
  <si>
    <t>산호 레벨 합계 280 달성</t>
  </si>
  <si>
    <t>화산 폭발스킬 2 레벨 달성</t>
  </si>
  <si>
    <t>skill_levelup</t>
  </si>
  <si>
    <t>산호석 200 레벨 달성</t>
  </si>
  <si>
    <t>산호 레벨 합계 320 달성</t>
  </si>
  <si>
    <t>산호석 220 레벨 달성</t>
  </si>
  <si>
    <t>노틸러스호의 잔해 1 레벨 달성</t>
  </si>
  <si>
    <t>artifact_levelup</t>
  </si>
  <si>
    <t>산호 레벨 합계 340 달성</t>
  </si>
  <si>
    <t>산호석 240 레벨 달성</t>
  </si>
  <si>
    <t>산호 레벨 합계 360 달성</t>
  </si>
  <si>
    <t>신비의 불가사리 필요</t>
  </si>
  <si>
    <t>산호 레벨 합계 380 달성</t>
  </si>
  <si>
    <t>산호석 250 레벨 달성</t>
  </si>
  <si>
    <t>산호 레벨 합계 400 달성</t>
  </si>
  <si>
    <t>산호 레벨 합계 420 달성</t>
  </si>
  <si>
    <t>산호석 260 레벨 달성</t>
  </si>
  <si>
    <t>산호 레벨 합계 440 달성</t>
  </si>
  <si>
    <t>산호석 270 레벨 달성</t>
  </si>
  <si>
    <t>산호 레벨 합계 460 달성</t>
  </si>
  <si>
    <t>산호석 280 레벨 달성</t>
  </si>
  <si>
    <t>산호 레벨 합계 480 달성</t>
  </si>
  <si>
    <t>산호 레벨 합계 500 달성</t>
  </si>
  <si>
    <t>산호석 290 레벨 달성</t>
  </si>
  <si>
    <t>산호 레벨 합계 520 달성</t>
  </si>
  <si>
    <t>산호 레벨 합계 540 달성</t>
  </si>
  <si>
    <t>산호석 300 레벨 달성</t>
  </si>
  <si>
    <t>아무 스킬 사용 3회</t>
  </si>
  <si>
    <t>산호 레벨 합계 560 달성</t>
  </si>
  <si>
    <t>산호 레벨 합계 580 달성</t>
  </si>
  <si>
    <t>산호 레벨 합계 600 달성</t>
  </si>
  <si>
    <t>산호 레벨 합계 620 달성</t>
  </si>
  <si>
    <t>아무 스킬 사용 4회</t>
  </si>
  <si>
    <t>산호 레벨 합계 640 달성</t>
  </si>
  <si>
    <t>산호석 310 레벨 달성</t>
  </si>
  <si>
    <t>산호 레벨 합계 660 달성</t>
  </si>
  <si>
    <t>산호석 320 레벨 달성</t>
  </si>
  <si>
    <t>산호 레벨 합계 680 달성</t>
  </si>
  <si>
    <t>산호 레벨 합계 700 달성</t>
  </si>
  <si>
    <t>산호석 330 레벨 달성</t>
  </si>
  <si>
    <t>산호 레벨 합계 720 달성</t>
  </si>
  <si>
    <t>새하얀 말미잘 필요</t>
  </si>
  <si>
    <t>와이오밍 화이트 크라운피쉬</t>
  </si>
  <si>
    <t>옐로우노즈 프론 고비</t>
  </si>
  <si>
    <t>유니콘 탱</t>
  </si>
  <si>
    <t>키홀 엔젤 피시</t>
  </si>
  <si>
    <t>필리핀 나비</t>
  </si>
  <si>
    <t>롱노즈 나비</t>
  </si>
  <si>
    <t>놋트헤드 패럿피쉬</t>
  </si>
  <si>
    <t>포큐파인 푸퍼</t>
  </si>
  <si>
    <t>분홍 갑오징어</t>
  </si>
  <si>
    <t>악어 거북</t>
  </si>
  <si>
    <t>바키타 돌고래</t>
  </si>
  <si>
    <t>체인 캣샤크</t>
  </si>
  <si>
    <t>보리 고래</t>
  </si>
  <si>
    <t>일일 미션 클리어</t>
    <phoneticPr fontId="1" type="noConversion"/>
  </si>
  <si>
    <t>daily_mission_clear</t>
    <phoneticPr fontId="1" type="noConversion"/>
  </si>
  <si>
    <t>count_play_time</t>
    <phoneticPr fontId="1" type="noConversion"/>
  </si>
  <si>
    <t>daily_mission_4_title</t>
    <phoneticPr fontId="1" type="noConversion"/>
  </si>
  <si>
    <t>daily_mission_5_title</t>
    <phoneticPr fontId="1" type="noConversion"/>
  </si>
  <si>
    <t>마이다스 탭스킬 1 회 사용하기</t>
  </si>
  <si>
    <t>dailymission_icon_6</t>
    <phoneticPr fontId="1" type="noConversion"/>
  </si>
  <si>
    <t>use_target_skill</t>
  </si>
  <si>
    <t>collect_evo_1</t>
    <phoneticPr fontId="1" type="noConversion"/>
  </si>
  <si>
    <t>collect_evo_2</t>
  </si>
  <si>
    <t>collect_evo_3</t>
  </si>
  <si>
    <t>collect_evo_4</t>
  </si>
  <si>
    <t>collect_evo_5</t>
  </si>
  <si>
    <t>collect_evo_6</t>
  </si>
  <si>
    <t>collect_evo_7</t>
  </si>
  <si>
    <t>collect_evo_8</t>
  </si>
  <si>
    <t>collect_evo_9</t>
  </si>
  <si>
    <t>collect_evo_10</t>
  </si>
  <si>
    <t>collect_evo_11</t>
  </si>
  <si>
    <t>collect_evo_12</t>
  </si>
  <si>
    <t>collect_evo_13</t>
  </si>
  <si>
    <t>collect_evo_14</t>
  </si>
  <si>
    <t>collect_evo_15</t>
  </si>
  <si>
    <t>collect_evo_16</t>
  </si>
  <si>
    <t>마이다스탭 (test)</t>
    <phoneticPr fontId="1" type="noConversion"/>
  </si>
  <si>
    <t>daily_mission_6_title</t>
  </si>
  <si>
    <t>daily_mission_7_title</t>
  </si>
  <si>
    <t>산호석 터치하기 70회</t>
  </si>
  <si>
    <t>크라운 종 2마리 필요</t>
  </si>
  <si>
    <t>have_fish_kind</t>
  </si>
  <si>
    <t>산호석 터치하기 110회</t>
  </si>
  <si>
    <t>산호석 터치하기 150회</t>
  </si>
  <si>
    <t>산호석 터치하기 200회</t>
  </si>
  <si>
    <t>크라운 종 3마리 필요</t>
  </si>
  <si>
    <t>산호석 터치하기 230회</t>
  </si>
  <si>
    <t>산호석 터치하기 260회</t>
  </si>
  <si>
    <t>크라운 종 4마리 필요</t>
  </si>
  <si>
    <t>산호석 터치하기 290회</t>
  </si>
  <si>
    <t>산호석 터치하기 380회</t>
  </si>
  <si>
    <t>크라운 종 5마리 필요</t>
  </si>
  <si>
    <t>산호석 터치하기 420회</t>
  </si>
  <si>
    <t>산호석 터치하기 460회</t>
  </si>
  <si>
    <t>산호석 터치하기 500회</t>
  </si>
  <si>
    <t>산호석 터치하기 550회</t>
  </si>
  <si>
    <t>고비 종 1마리 필요</t>
  </si>
  <si>
    <t>산호석 터치하기 600회</t>
  </si>
  <si>
    <t>진화 물고기 1 마리 수집하기</t>
  </si>
  <si>
    <t>have_fish_evol_type</t>
  </si>
  <si>
    <t>산호석 터치하기 650회</t>
  </si>
  <si>
    <t>산호석 터치하기 700회</t>
  </si>
  <si>
    <t>산호석 터치하기 750회</t>
  </si>
  <si>
    <t>산호석 터치하기 800회</t>
  </si>
  <si>
    <t>산호석 터치하기 850회</t>
  </si>
  <si>
    <t>산호석 터치하기 900회</t>
  </si>
  <si>
    <t>산호석 터치하기 950회</t>
  </si>
  <si>
    <t>산호석 터치하기 1000회</t>
  </si>
  <si>
    <t>산호석 터치하기 1050회</t>
  </si>
  <si>
    <t>산호석 터치하기 1100회</t>
  </si>
  <si>
    <t>산호석 터치하기 1200회</t>
  </si>
  <si>
    <t>산호석 터치하기 1300회</t>
  </si>
  <si>
    <t>산호석 터치하기 1400회</t>
  </si>
  <si>
    <t>산호석 터치하기 1500회</t>
  </si>
  <si>
    <t>산호석 터치하기 1600회</t>
  </si>
  <si>
    <t>산호석 터치하기 1700회</t>
  </si>
  <si>
    <t>산호석 터치하기 1800회</t>
  </si>
  <si>
    <t>Memo1</t>
    <phoneticPr fontId="1" type="noConversion"/>
  </si>
  <si>
    <t>Memo2</t>
    <phoneticPr fontId="1" type="noConversion"/>
  </si>
  <si>
    <t>고비 종 2마리 필요</t>
  </si>
  <si>
    <t>고비 종 3마리 필요</t>
  </si>
  <si>
    <t>고비 종 4마리 필요</t>
  </si>
  <si>
    <t>고비 종 5마리 필요</t>
  </si>
  <si>
    <t>탱 종 1마리 필요</t>
  </si>
  <si>
    <t>산호석 터치하기 1150회</t>
  </si>
  <si>
    <t>산호석 터치하기 1250회</t>
  </si>
  <si>
    <t>산호석 터치하기 1350회</t>
  </si>
  <si>
    <t>산호석 터치하기 1450회</t>
  </si>
  <si>
    <t>산호석 터치하기 1550회</t>
  </si>
  <si>
    <t>산호석 터치하기 1650회</t>
  </si>
  <si>
    <t>산호석 터치하기 1750회</t>
  </si>
  <si>
    <t>흰배돌고래</t>
    <phoneticPr fontId="1" type="noConversion"/>
  </si>
  <si>
    <r>
      <rPr>
        <sz val="11"/>
        <rFont val="맑은 고딕"/>
        <family val="3"/>
        <charset val="129"/>
      </rPr>
      <t>불스아이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일렉트릭</t>
    </r>
    <r>
      <rPr>
        <sz val="11"/>
        <rFont val="Calibri"/>
        <family val="3"/>
      </rPr>
      <t xml:space="preserve"> </t>
    </r>
    <r>
      <rPr>
        <sz val="11"/>
        <rFont val="맑은 고딕"/>
        <family val="3"/>
        <charset val="129"/>
      </rPr>
      <t>래이</t>
    </r>
    <phoneticPr fontId="1" type="noConversion"/>
  </si>
  <si>
    <t>daily_mission_8_title</t>
    <phoneticPr fontId="1" type="noConversion"/>
  </si>
  <si>
    <t>shop_free_midas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</si>
</sst>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u/>
      <sz val="11"/>
      <color theme="10"/>
      <name val="Calibri"/>
      <family val="2"/>
    </font>
    <font>
      <sz val="11"/>
      <name val="맑은 고딕"/>
      <family val="3"/>
      <charset val="129"/>
    </font>
    <font>
      <sz val="11"/>
      <name val="Calibri"/>
      <family val="3"/>
      <charset val="129"/>
    </font>
    <font>
      <sz val="11"/>
      <color rgb="FFFF0000"/>
      <name val="Calibri"/>
      <family val="2"/>
    </font>
    <font>
      <sz val="11"/>
      <name val="맑은 고딕"/>
      <family val="2"/>
      <charset val="129"/>
    </font>
    <font>
      <sz val="11"/>
      <name val="Calibri"/>
      <family val="3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2" fillId="0" borderId="0"/>
    <xf numFmtId="0" fontId="6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4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17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6" fontId="0" fillId="7" borderId="0" xfId="0" applyNumberForma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0" fontId="9" fillId="0" borderId="0" xfId="5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0" fillId="0" borderId="0" xfId="0" applyFont="1"/>
  </cellXfs>
  <cellStyles count="6">
    <cellStyle name="Excel Built-in Normal" xfId="4" xr:uid="{5D4280F7-E0F5-4146-A579-0E3C7C01B392}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  <cellStyle name="하이퍼링크" xfId="5" builtinId="8"/>
  </cellStyles>
  <dxfs count="15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11-07T06:15:13.43" personId="{00000000-0000-0000-0000-000000000000}" id="{75783F8C-D6A4-42B5-969E-86D123C58DC8}">
    <text>물고기 id
장식 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UI_Re_icon@a3" TargetMode="External"/><Relationship Id="rId1" Type="http://schemas.openxmlformats.org/officeDocument/2006/relationships/hyperlink" Target="mailto:UI_Re_icon@a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J24" sqref="G24:J25"/>
    </sheetView>
  </sheetViews>
  <sheetFormatPr defaultRowHeight="15"/>
  <cols>
    <col min="1" max="1" width="4.140625" style="7" bestFit="1" customWidth="1"/>
    <col min="2" max="2" width="19.28515625" style="7" bestFit="1" customWidth="1"/>
    <col min="3" max="3" width="9.5703125" style="7" bestFit="1" customWidth="1"/>
    <col min="4" max="4" width="17.28515625" style="7" customWidth="1"/>
    <col min="5" max="5" width="14.28515625" style="7" customWidth="1"/>
    <col min="6" max="6" width="19.7109375" style="7" bestFit="1" customWidth="1"/>
    <col min="7" max="7" width="12.85546875" style="7" bestFit="1" customWidth="1"/>
    <col min="8" max="8" width="17" style="7" bestFit="1" customWidth="1"/>
    <col min="9" max="9" width="19.42578125" style="7" bestFit="1" customWidth="1"/>
    <col min="10" max="10" width="18.85546875" style="7" bestFit="1" customWidth="1"/>
    <col min="11" max="11" width="38.5703125" style="7" bestFit="1" customWidth="1"/>
    <col min="12" max="12" width="33" style="7" bestFit="1" customWidth="1"/>
    <col min="13" max="13" width="30.85546875" style="7" bestFit="1" customWidth="1"/>
    <col min="14" max="15" width="9.140625" style="7"/>
    <col min="16" max="16" width="17.42578125" style="7" bestFit="1" customWidth="1"/>
    <col min="17" max="17" width="32.85546875" style="7" bestFit="1" customWidth="1"/>
    <col min="18" max="16384" width="9.140625" style="7"/>
  </cols>
  <sheetData>
    <row r="1" spans="1:17">
      <c r="A1" s="3" t="s">
        <v>0</v>
      </c>
      <c r="B1" s="5" t="s">
        <v>1</v>
      </c>
      <c r="C1" s="6" t="s">
        <v>7</v>
      </c>
      <c r="D1" s="5" t="s">
        <v>8</v>
      </c>
      <c r="E1" s="5" t="s">
        <v>9</v>
      </c>
      <c r="F1" s="5" t="s">
        <v>10</v>
      </c>
      <c r="G1" s="6" t="s">
        <v>11</v>
      </c>
      <c r="H1" s="5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6" t="s">
        <v>17</v>
      </c>
      <c r="N1" s="7" t="s">
        <v>18</v>
      </c>
      <c r="O1" s="7" t="s">
        <v>19</v>
      </c>
      <c r="P1" s="7" t="s">
        <v>20</v>
      </c>
      <c r="Q1" s="7" t="s">
        <v>21</v>
      </c>
    </row>
    <row r="2" spans="1:17">
      <c r="A2" s="1" t="s">
        <v>2</v>
      </c>
      <c r="B2" s="5" t="s">
        <v>3</v>
      </c>
      <c r="C2" s="5" t="s">
        <v>2</v>
      </c>
      <c r="D2" s="5" t="s">
        <v>2</v>
      </c>
      <c r="E2" s="5" t="s">
        <v>2</v>
      </c>
      <c r="F2" s="6" t="s">
        <v>2</v>
      </c>
      <c r="G2" s="5" t="s">
        <v>2</v>
      </c>
      <c r="H2" s="5" t="s">
        <v>2</v>
      </c>
      <c r="I2" s="2" t="s">
        <v>2</v>
      </c>
      <c r="J2" s="2" t="s">
        <v>2</v>
      </c>
      <c r="K2" s="2" t="s">
        <v>2</v>
      </c>
      <c r="L2" s="2" t="s">
        <v>3</v>
      </c>
      <c r="M2" s="5" t="s">
        <v>2</v>
      </c>
      <c r="N2" s="7" t="s">
        <v>2</v>
      </c>
      <c r="O2" s="7" t="s">
        <v>2</v>
      </c>
      <c r="P2" s="7" t="s">
        <v>3</v>
      </c>
      <c r="Q2" s="7" t="s">
        <v>3</v>
      </c>
    </row>
    <row r="3" spans="1:17">
      <c r="A3" s="1" t="s">
        <v>4</v>
      </c>
      <c r="B3" s="1" t="s">
        <v>5</v>
      </c>
      <c r="C3" s="4" t="s">
        <v>6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6</v>
      </c>
      <c r="M3" s="4" t="s">
        <v>4</v>
      </c>
      <c r="N3" s="7" t="s">
        <v>4</v>
      </c>
      <c r="O3" s="7" t="s">
        <v>4</v>
      </c>
      <c r="P3" s="7" t="s">
        <v>6</v>
      </c>
      <c r="Q3" s="7" t="s">
        <v>6</v>
      </c>
    </row>
    <row r="4" spans="1:17">
      <c r="A4" s="7">
        <v>1</v>
      </c>
      <c r="B4" s="7" t="s">
        <v>231</v>
      </c>
      <c r="C4" s="7">
        <v>100</v>
      </c>
      <c r="D4" s="7">
        <v>0</v>
      </c>
      <c r="E4" s="7">
        <v>0</v>
      </c>
      <c r="F4" s="7">
        <v>0</v>
      </c>
      <c r="G4" s="7">
        <v>0</v>
      </c>
      <c r="H4" s="7">
        <v>1</v>
      </c>
      <c r="I4" s="7">
        <v>34</v>
      </c>
      <c r="J4" s="7">
        <v>0</v>
      </c>
      <c r="K4" s="7">
        <v>1500</v>
      </c>
      <c r="L4" s="7" t="s">
        <v>209</v>
      </c>
      <c r="M4" s="7">
        <v>3</v>
      </c>
      <c r="N4" s="7">
        <v>0</v>
      </c>
      <c r="O4" s="7">
        <v>30</v>
      </c>
      <c r="P4" s="7" t="s">
        <v>235</v>
      </c>
      <c r="Q4" s="7" t="s">
        <v>238</v>
      </c>
    </row>
    <row r="5" spans="1:17">
      <c r="A5" s="7">
        <v>2</v>
      </c>
      <c r="B5" s="7" t="s">
        <v>232</v>
      </c>
      <c r="C5" s="7">
        <v>200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7">
        <v>20</v>
      </c>
      <c r="J5" s="7">
        <v>0</v>
      </c>
      <c r="K5" s="7">
        <v>5</v>
      </c>
      <c r="L5" s="7" t="s">
        <v>208</v>
      </c>
      <c r="M5" s="7">
        <v>3</v>
      </c>
      <c r="N5" s="7">
        <v>0</v>
      </c>
      <c r="O5" s="7">
        <v>30</v>
      </c>
      <c r="P5" s="7" t="s">
        <v>237</v>
      </c>
      <c r="Q5" s="8" t="s">
        <v>240</v>
      </c>
    </row>
    <row r="6" spans="1:17">
      <c r="A6" s="7">
        <v>3</v>
      </c>
      <c r="B6" s="7" t="s">
        <v>233</v>
      </c>
      <c r="C6" s="7">
        <v>300</v>
      </c>
      <c r="D6" s="7">
        <v>0</v>
      </c>
      <c r="E6" s="7">
        <v>0</v>
      </c>
      <c r="F6" s="7">
        <v>0</v>
      </c>
      <c r="G6" s="7">
        <v>0</v>
      </c>
      <c r="H6" s="7">
        <v>1</v>
      </c>
      <c r="I6" s="7">
        <v>8</v>
      </c>
      <c r="J6" s="7">
        <v>0</v>
      </c>
      <c r="K6" s="7">
        <v>6</v>
      </c>
      <c r="L6" s="7" t="s">
        <v>52</v>
      </c>
      <c r="M6" s="7">
        <v>3</v>
      </c>
      <c r="N6" s="7">
        <v>0</v>
      </c>
      <c r="O6" s="7">
        <v>30</v>
      </c>
      <c r="P6" s="7" t="s">
        <v>236</v>
      </c>
      <c r="Q6" s="8" t="s">
        <v>239</v>
      </c>
    </row>
    <row r="7" spans="1:17" ht="16.5">
      <c r="A7" s="7">
        <v>4</v>
      </c>
      <c r="B7" s="27" t="s">
        <v>234</v>
      </c>
      <c r="C7" s="7">
        <v>500</v>
      </c>
      <c r="D7" s="7">
        <v>0</v>
      </c>
      <c r="E7" s="7">
        <v>0</v>
      </c>
      <c r="F7" s="7">
        <v>0</v>
      </c>
      <c r="G7" s="7">
        <v>0</v>
      </c>
      <c r="H7" s="7">
        <v>1</v>
      </c>
      <c r="I7" s="7">
        <v>1010</v>
      </c>
      <c r="J7" s="7">
        <v>0</v>
      </c>
      <c r="K7" s="7">
        <v>15</v>
      </c>
      <c r="L7" s="8" t="s">
        <v>403</v>
      </c>
      <c r="M7" s="7">
        <v>3</v>
      </c>
      <c r="N7" s="7">
        <v>0</v>
      </c>
      <c r="O7" s="7">
        <v>30</v>
      </c>
      <c r="P7" s="8" t="s">
        <v>404</v>
      </c>
      <c r="Q7" s="8" t="s">
        <v>241</v>
      </c>
    </row>
    <row r="8" spans="1:17" ht="16.5">
      <c r="A8" s="7">
        <v>5</v>
      </c>
      <c r="B8" s="27" t="s">
        <v>401</v>
      </c>
      <c r="C8" s="7">
        <v>600</v>
      </c>
      <c r="D8" s="7">
        <v>0</v>
      </c>
      <c r="E8" s="7">
        <v>0</v>
      </c>
      <c r="F8" s="7">
        <v>0</v>
      </c>
      <c r="G8" s="7">
        <v>0</v>
      </c>
      <c r="H8" s="7">
        <v>1</v>
      </c>
      <c r="I8" s="7">
        <v>16</v>
      </c>
      <c r="J8" s="7">
        <v>0</v>
      </c>
      <c r="K8" s="7">
        <v>4</v>
      </c>
      <c r="L8" s="8" t="s">
        <v>402</v>
      </c>
      <c r="M8" s="7">
        <v>3</v>
      </c>
      <c r="N8" s="7">
        <v>0</v>
      </c>
      <c r="O8" s="7">
        <v>100</v>
      </c>
      <c r="P8" s="8" t="s">
        <v>405</v>
      </c>
      <c r="Q8" s="8" t="s">
        <v>407</v>
      </c>
    </row>
    <row r="9" spans="1:17" ht="16.5">
      <c r="A9" s="7">
        <v>6</v>
      </c>
      <c r="B9" s="27" t="s">
        <v>425</v>
      </c>
      <c r="C9" s="7">
        <v>400</v>
      </c>
      <c r="D9" s="7">
        <v>0</v>
      </c>
      <c r="E9" s="7">
        <v>0</v>
      </c>
      <c r="F9" s="7">
        <v>0</v>
      </c>
      <c r="G9" s="7">
        <v>0</v>
      </c>
      <c r="H9" s="7">
        <v>1</v>
      </c>
      <c r="I9" s="7">
        <v>1011</v>
      </c>
      <c r="J9" s="7">
        <v>5</v>
      </c>
      <c r="K9" s="7">
        <v>3</v>
      </c>
      <c r="L9" s="7" t="s">
        <v>408</v>
      </c>
      <c r="M9" s="7">
        <v>3</v>
      </c>
      <c r="N9" s="7">
        <v>0</v>
      </c>
      <c r="O9" s="7">
        <v>30</v>
      </c>
      <c r="P9" s="8" t="s">
        <v>482</v>
      </c>
      <c r="Q9" s="8" t="s">
        <v>483</v>
      </c>
    </row>
    <row r="10" spans="1:17">
      <c r="A10" s="7">
        <v>7</v>
      </c>
      <c r="B10" s="7" t="s">
        <v>232</v>
      </c>
      <c r="C10" s="7">
        <v>201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20</v>
      </c>
      <c r="J10" s="7">
        <v>0</v>
      </c>
      <c r="K10" s="7">
        <v>10</v>
      </c>
      <c r="L10" s="7" t="s">
        <v>208</v>
      </c>
      <c r="M10" s="7">
        <v>3</v>
      </c>
      <c r="N10" s="7">
        <v>0</v>
      </c>
      <c r="O10" s="7">
        <v>50</v>
      </c>
      <c r="P10" s="7" t="s">
        <v>426</v>
      </c>
      <c r="Q10" s="8" t="s">
        <v>240</v>
      </c>
    </row>
    <row r="11" spans="1:17">
      <c r="A11" s="7">
        <v>8</v>
      </c>
      <c r="B11" s="7" t="s">
        <v>232</v>
      </c>
      <c r="C11" s="7">
        <v>202</v>
      </c>
      <c r="D11" s="7">
        <v>0</v>
      </c>
      <c r="E11" s="7">
        <v>0</v>
      </c>
      <c r="F11" s="7">
        <v>0</v>
      </c>
      <c r="G11" s="7">
        <v>0</v>
      </c>
      <c r="H11" s="7">
        <v>1</v>
      </c>
      <c r="I11" s="7">
        <v>20</v>
      </c>
      <c r="J11" s="7">
        <v>0</v>
      </c>
      <c r="K11" s="7">
        <v>15</v>
      </c>
      <c r="L11" s="7" t="s">
        <v>208</v>
      </c>
      <c r="M11" s="7">
        <v>3</v>
      </c>
      <c r="N11" s="7">
        <v>0</v>
      </c>
      <c r="O11" s="7">
        <v>50</v>
      </c>
      <c r="P11" s="7" t="s">
        <v>427</v>
      </c>
      <c r="Q11" s="8" t="s">
        <v>240</v>
      </c>
    </row>
  </sheetData>
  <phoneticPr fontId="1" type="noConversion"/>
  <conditionalFormatting sqref="A1:A2">
    <cfRule type="duplicateValues" dxfId="14" priority="17"/>
  </conditionalFormatting>
  <conditionalFormatting sqref="A3:XFD3">
    <cfRule type="containsText" dxfId="13" priority="5" operator="containsText" text="all">
      <formula>NOT(ISERROR(SEARCH("all",A3)))</formula>
    </cfRule>
    <cfRule type="containsText" dxfId="12" priority="6" operator="containsText" text="nodata">
      <formula>NOT(ISERROR(SEARCH("nodata",A3)))</formula>
    </cfRule>
  </conditionalFormatting>
  <conditionalFormatting sqref="M1:M3">
    <cfRule type="duplicateValues" dxfId="11" priority="3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440E-190C-4D57-B3D3-ACBC01E9D0D9}">
  <dimension ref="A1:M105"/>
  <sheetViews>
    <sheetView topLeftCell="A82" workbookViewId="0">
      <selection activeCell="G50" sqref="G50"/>
    </sheetView>
  </sheetViews>
  <sheetFormatPr defaultRowHeight="15"/>
  <cols>
    <col min="1" max="1" width="6.7109375" style="11" bestFit="1" customWidth="1"/>
    <col min="2" max="2" width="5.140625" style="11" bestFit="1" customWidth="1"/>
    <col min="3" max="3" width="5.7109375" style="11" bestFit="1" customWidth="1"/>
    <col min="4" max="4" width="24.5703125" style="11" bestFit="1" customWidth="1"/>
    <col min="5" max="5" width="13.140625" style="11" bestFit="1" customWidth="1"/>
    <col min="6" max="6" width="14.5703125" bestFit="1" customWidth="1"/>
    <col min="7" max="7" width="14.140625" bestFit="1" customWidth="1"/>
    <col min="8" max="8" width="28.42578125" bestFit="1" customWidth="1"/>
    <col min="9" max="9" width="13" bestFit="1" customWidth="1"/>
    <col min="10" max="10" width="10.140625" bestFit="1" customWidth="1"/>
    <col min="11" max="11" width="11.5703125" bestFit="1" customWidth="1"/>
    <col min="12" max="12" width="16.140625" style="11" bestFit="1" customWidth="1"/>
    <col min="13" max="13" width="28.5703125" style="11" bestFit="1" customWidth="1"/>
  </cols>
  <sheetData>
    <row r="1" spans="1:13">
      <c r="A1" s="14" t="s">
        <v>39</v>
      </c>
      <c r="B1" s="2" t="s">
        <v>22</v>
      </c>
      <c r="C1" s="2" t="s">
        <v>23</v>
      </c>
      <c r="D1" s="2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10" t="s">
        <v>29</v>
      </c>
      <c r="J1" s="10" t="s">
        <v>30</v>
      </c>
      <c r="K1" s="10" t="s">
        <v>31</v>
      </c>
      <c r="L1" s="2" t="s">
        <v>32</v>
      </c>
      <c r="M1" s="2" t="s">
        <v>33</v>
      </c>
    </row>
    <row r="2" spans="1:13">
      <c r="A2" s="1" t="s">
        <v>34</v>
      </c>
      <c r="B2" s="1" t="s">
        <v>34</v>
      </c>
      <c r="C2" s="1" t="s">
        <v>34</v>
      </c>
      <c r="D2" s="1" t="s">
        <v>35</v>
      </c>
      <c r="E2" s="1" t="s">
        <v>34</v>
      </c>
      <c r="F2" s="1" t="s">
        <v>34</v>
      </c>
      <c r="G2" s="1" t="s">
        <v>34</v>
      </c>
      <c r="H2" s="1" t="s">
        <v>35</v>
      </c>
      <c r="I2" s="1" t="s">
        <v>34</v>
      </c>
      <c r="J2" s="1" t="s">
        <v>34</v>
      </c>
      <c r="K2" s="1" t="s">
        <v>34</v>
      </c>
      <c r="L2" s="1" t="s">
        <v>35</v>
      </c>
      <c r="M2" s="1" t="s">
        <v>35</v>
      </c>
    </row>
    <row r="3" spans="1:13">
      <c r="A3" s="1" t="s">
        <v>36</v>
      </c>
      <c r="B3" s="1" t="s">
        <v>36</v>
      </c>
      <c r="C3" s="1" t="s">
        <v>36</v>
      </c>
      <c r="D3" s="1" t="s">
        <v>37</v>
      </c>
      <c r="E3" s="1" t="s">
        <v>36</v>
      </c>
      <c r="F3" s="1" t="s">
        <v>36</v>
      </c>
      <c r="G3" s="1" t="s">
        <v>36</v>
      </c>
      <c r="H3" s="1" t="s">
        <v>38</v>
      </c>
      <c r="I3" s="1" t="s">
        <v>36</v>
      </c>
      <c r="J3" s="1" t="s">
        <v>36</v>
      </c>
      <c r="K3" s="1" t="s">
        <v>36</v>
      </c>
      <c r="L3" s="1" t="s">
        <v>38</v>
      </c>
      <c r="M3" s="1" t="s">
        <v>36</v>
      </c>
    </row>
    <row r="4" spans="1:13" ht="16.5">
      <c r="A4" s="11">
        <f>B4*1000+C4</f>
        <v>1001</v>
      </c>
      <c r="B4" s="12">
        <v>1</v>
      </c>
      <c r="C4" s="11">
        <f>COUNTIF($B$4:B4,B4)</f>
        <v>1</v>
      </c>
      <c r="D4" s="25" t="s">
        <v>201</v>
      </c>
      <c r="E4" s="7">
        <v>3</v>
      </c>
      <c r="F4" s="11"/>
      <c r="G4" s="25">
        <v>200</v>
      </c>
      <c r="H4" s="23" t="s">
        <v>222</v>
      </c>
      <c r="I4" s="11">
        <v>3</v>
      </c>
      <c r="J4" s="11">
        <v>0</v>
      </c>
      <c r="K4" s="13">
        <v>10</v>
      </c>
      <c r="L4" s="8" t="s">
        <v>210</v>
      </c>
      <c r="M4" s="12" t="s">
        <v>224</v>
      </c>
    </row>
    <row r="5" spans="1:13" ht="16.5">
      <c r="A5" s="11">
        <f t="shared" ref="A5:A68" si="0">B5*1000+C5</f>
        <v>1002</v>
      </c>
      <c r="B5" s="12">
        <v>1</v>
      </c>
      <c r="C5" s="11">
        <f>COUNTIF($B$4:B5,B5)</f>
        <v>2</v>
      </c>
      <c r="D5" s="25" t="s">
        <v>201</v>
      </c>
      <c r="E5" s="7">
        <v>3</v>
      </c>
      <c r="F5" s="11"/>
      <c r="G5" s="25">
        <v>350</v>
      </c>
      <c r="H5" s="23" t="s">
        <v>222</v>
      </c>
      <c r="I5" s="11">
        <v>3</v>
      </c>
      <c r="J5" s="11">
        <v>0</v>
      </c>
      <c r="K5" s="13">
        <v>10</v>
      </c>
      <c r="L5" s="8" t="s">
        <v>210</v>
      </c>
      <c r="M5" s="12" t="s">
        <v>224</v>
      </c>
    </row>
    <row r="6" spans="1:13" ht="16.5">
      <c r="A6" s="11">
        <f t="shared" si="0"/>
        <v>1003</v>
      </c>
      <c r="B6" s="12">
        <v>1</v>
      </c>
      <c r="C6" s="11">
        <f>COUNTIF($B$4:B6,B6)</f>
        <v>3</v>
      </c>
      <c r="D6" s="25" t="s">
        <v>201</v>
      </c>
      <c r="E6" s="7">
        <v>3</v>
      </c>
      <c r="F6" s="11"/>
      <c r="G6" s="25">
        <v>500</v>
      </c>
      <c r="H6" s="23" t="s">
        <v>222</v>
      </c>
      <c r="I6" s="11">
        <v>3</v>
      </c>
      <c r="J6" s="11">
        <v>0</v>
      </c>
      <c r="K6" s="13">
        <v>10</v>
      </c>
      <c r="L6" s="8" t="s">
        <v>210</v>
      </c>
      <c r="M6" s="12" t="s">
        <v>224</v>
      </c>
    </row>
    <row r="7" spans="1:13" ht="16.5">
      <c r="A7" s="11">
        <f t="shared" si="0"/>
        <v>1004</v>
      </c>
      <c r="B7" s="12">
        <v>1</v>
      </c>
      <c r="C7" s="11">
        <f>COUNTIF($B$4:B7,B7)</f>
        <v>4</v>
      </c>
      <c r="D7" s="25" t="s">
        <v>201</v>
      </c>
      <c r="E7" s="7">
        <v>3</v>
      </c>
      <c r="F7" s="11"/>
      <c r="G7" s="25">
        <v>1000</v>
      </c>
      <c r="H7" s="23" t="s">
        <v>222</v>
      </c>
      <c r="I7" s="11">
        <v>3</v>
      </c>
      <c r="J7" s="11">
        <v>0</v>
      </c>
      <c r="K7" s="13">
        <v>10</v>
      </c>
      <c r="L7" s="8" t="s">
        <v>210</v>
      </c>
      <c r="M7" s="12" t="s">
        <v>224</v>
      </c>
    </row>
    <row r="8" spans="1:13" ht="16.5">
      <c r="A8" s="11">
        <f t="shared" si="0"/>
        <v>1005</v>
      </c>
      <c r="B8" s="12">
        <v>1</v>
      </c>
      <c r="C8" s="11">
        <f>COUNTIF($B$4:B8,B8)</f>
        <v>5</v>
      </c>
      <c r="D8" s="25" t="s">
        <v>201</v>
      </c>
      <c r="E8" s="7">
        <v>3</v>
      </c>
      <c r="F8" s="11"/>
      <c r="G8" s="25">
        <v>1500</v>
      </c>
      <c r="H8" s="23" t="s">
        <v>222</v>
      </c>
      <c r="I8" s="11">
        <v>3</v>
      </c>
      <c r="J8" s="11">
        <v>0</v>
      </c>
      <c r="K8" s="13">
        <v>10</v>
      </c>
      <c r="L8" s="8" t="s">
        <v>210</v>
      </c>
      <c r="M8" s="12" t="s">
        <v>224</v>
      </c>
    </row>
    <row r="9" spans="1:13" ht="16.5">
      <c r="A9" s="11">
        <f t="shared" si="0"/>
        <v>1006</v>
      </c>
      <c r="B9" s="12">
        <v>1</v>
      </c>
      <c r="C9" s="11">
        <f>COUNTIF($B$4:B9,B9)</f>
        <v>6</v>
      </c>
      <c r="D9" s="25" t="s">
        <v>201</v>
      </c>
      <c r="E9" s="7">
        <v>3</v>
      </c>
      <c r="F9" s="11"/>
      <c r="G9" s="25">
        <v>2500</v>
      </c>
      <c r="H9" s="23" t="s">
        <v>222</v>
      </c>
      <c r="I9" s="11">
        <v>3</v>
      </c>
      <c r="J9" s="11">
        <v>0</v>
      </c>
      <c r="K9" s="13">
        <v>10</v>
      </c>
      <c r="L9" s="8" t="s">
        <v>210</v>
      </c>
      <c r="M9" s="12" t="s">
        <v>224</v>
      </c>
    </row>
    <row r="10" spans="1:13" ht="16.5">
      <c r="A10" s="11">
        <f t="shared" si="0"/>
        <v>1007</v>
      </c>
      <c r="B10" s="12">
        <v>1</v>
      </c>
      <c r="C10" s="11">
        <f>COUNTIF($B$4:B10,B10)</f>
        <v>7</v>
      </c>
      <c r="D10" s="25" t="s">
        <v>201</v>
      </c>
      <c r="E10" s="7">
        <v>3</v>
      </c>
      <c r="F10" s="11"/>
      <c r="G10" s="25">
        <v>4000</v>
      </c>
      <c r="H10" s="23" t="s">
        <v>222</v>
      </c>
      <c r="I10" s="11">
        <v>3</v>
      </c>
      <c r="J10" s="11">
        <v>0</v>
      </c>
      <c r="K10" s="13">
        <v>10</v>
      </c>
      <c r="L10" s="8" t="s">
        <v>210</v>
      </c>
      <c r="M10" s="12" t="s">
        <v>224</v>
      </c>
    </row>
    <row r="11" spans="1:13" ht="16.5">
      <c r="A11" s="11">
        <f t="shared" si="0"/>
        <v>1008</v>
      </c>
      <c r="B11" s="12">
        <v>1</v>
      </c>
      <c r="C11" s="11">
        <f>COUNTIF($B$4:B11,B11)</f>
        <v>8</v>
      </c>
      <c r="D11" s="25" t="s">
        <v>201</v>
      </c>
      <c r="E11" s="7">
        <v>3</v>
      </c>
      <c r="F11" s="11"/>
      <c r="G11" s="25">
        <v>6000</v>
      </c>
      <c r="H11" s="23" t="s">
        <v>222</v>
      </c>
      <c r="I11" s="11">
        <v>3</v>
      </c>
      <c r="J11" s="11">
        <v>0</v>
      </c>
      <c r="K11" s="13">
        <v>10</v>
      </c>
      <c r="L11" s="8" t="s">
        <v>210</v>
      </c>
      <c r="M11" s="12" t="s">
        <v>224</v>
      </c>
    </row>
    <row r="12" spans="1:13" ht="16.5">
      <c r="A12" s="11">
        <f t="shared" si="0"/>
        <v>1009</v>
      </c>
      <c r="B12" s="12">
        <v>1</v>
      </c>
      <c r="C12" s="11">
        <f>COUNTIF($B$4:B12,B12)</f>
        <v>9</v>
      </c>
      <c r="D12" s="25" t="s">
        <v>201</v>
      </c>
      <c r="E12" s="7">
        <v>3</v>
      </c>
      <c r="F12" s="11"/>
      <c r="G12" s="25">
        <v>8000</v>
      </c>
      <c r="H12" s="23" t="s">
        <v>222</v>
      </c>
      <c r="I12" s="11">
        <v>3</v>
      </c>
      <c r="J12" s="11">
        <v>0</v>
      </c>
      <c r="K12" s="13">
        <v>10</v>
      </c>
      <c r="L12" s="8" t="s">
        <v>210</v>
      </c>
      <c r="M12" s="12" t="s">
        <v>224</v>
      </c>
    </row>
    <row r="13" spans="1:13" ht="16.5">
      <c r="A13" s="11">
        <f t="shared" si="0"/>
        <v>1010</v>
      </c>
      <c r="B13" s="12">
        <v>1</v>
      </c>
      <c r="C13" s="11">
        <f>COUNTIF($B$4:B13,B13)</f>
        <v>10</v>
      </c>
      <c r="D13" s="25" t="s">
        <v>201</v>
      </c>
      <c r="E13" s="7">
        <v>3</v>
      </c>
      <c r="F13" s="11"/>
      <c r="G13" s="25">
        <v>10000</v>
      </c>
      <c r="H13" s="23" t="s">
        <v>222</v>
      </c>
      <c r="I13" s="11">
        <v>3</v>
      </c>
      <c r="J13" s="11">
        <v>0</v>
      </c>
      <c r="K13" s="13">
        <v>10</v>
      </c>
      <c r="L13" s="8" t="s">
        <v>210</v>
      </c>
      <c r="M13" s="12" t="s">
        <v>224</v>
      </c>
    </row>
    <row r="14" spans="1:13" ht="16.5">
      <c r="A14" s="11">
        <f t="shared" si="0"/>
        <v>1011</v>
      </c>
      <c r="B14" s="12">
        <v>1</v>
      </c>
      <c r="C14" s="11">
        <f>COUNTIF($B$4:B14,B14)</f>
        <v>11</v>
      </c>
      <c r="D14" s="25" t="s">
        <v>201</v>
      </c>
      <c r="E14" s="7">
        <v>3</v>
      </c>
      <c r="F14" s="11"/>
      <c r="G14" s="25">
        <v>12000</v>
      </c>
      <c r="H14" s="23" t="s">
        <v>222</v>
      </c>
      <c r="I14" s="11">
        <v>3</v>
      </c>
      <c r="J14" s="11">
        <v>0</v>
      </c>
      <c r="K14" s="13">
        <v>10</v>
      </c>
      <c r="L14" s="8" t="s">
        <v>210</v>
      </c>
      <c r="M14" s="12" t="s">
        <v>224</v>
      </c>
    </row>
    <row r="15" spans="1:13" ht="16.5">
      <c r="A15" s="11">
        <f t="shared" si="0"/>
        <v>1012</v>
      </c>
      <c r="B15" s="12">
        <v>1</v>
      </c>
      <c r="C15" s="11">
        <f>COUNTIF($B$4:B15,B15)</f>
        <v>12</v>
      </c>
      <c r="D15" s="25" t="s">
        <v>201</v>
      </c>
      <c r="E15" s="7">
        <v>3</v>
      </c>
      <c r="F15" s="11"/>
      <c r="G15" s="25">
        <v>14000</v>
      </c>
      <c r="H15" s="23" t="s">
        <v>222</v>
      </c>
      <c r="I15" s="11">
        <v>3</v>
      </c>
      <c r="J15" s="11">
        <v>0</v>
      </c>
      <c r="K15" s="13">
        <v>10</v>
      </c>
      <c r="L15" s="8" t="s">
        <v>210</v>
      </c>
      <c r="M15" s="12" t="s">
        <v>224</v>
      </c>
    </row>
    <row r="16" spans="1:13" ht="16.5">
      <c r="A16" s="11">
        <f t="shared" si="0"/>
        <v>1013</v>
      </c>
      <c r="B16" s="12">
        <v>1</v>
      </c>
      <c r="C16" s="11">
        <f>COUNTIF($B$4:B16,B16)</f>
        <v>13</v>
      </c>
      <c r="D16" s="25" t="s">
        <v>201</v>
      </c>
      <c r="E16" s="7">
        <v>3</v>
      </c>
      <c r="F16" s="11"/>
      <c r="G16" s="25">
        <v>16000</v>
      </c>
      <c r="H16" s="23" t="s">
        <v>222</v>
      </c>
      <c r="I16" s="11">
        <v>3</v>
      </c>
      <c r="J16" s="11">
        <v>0</v>
      </c>
      <c r="K16" s="13">
        <v>10</v>
      </c>
      <c r="L16" s="8" t="s">
        <v>210</v>
      </c>
      <c r="M16" s="12" t="s">
        <v>224</v>
      </c>
    </row>
    <row r="17" spans="1:13" ht="16.5">
      <c r="A17" s="11">
        <f t="shared" si="0"/>
        <v>1014</v>
      </c>
      <c r="B17" s="12">
        <v>1</v>
      </c>
      <c r="C17" s="11">
        <f>COUNTIF($B$4:B17,B17)</f>
        <v>14</v>
      </c>
      <c r="D17" s="25" t="s">
        <v>201</v>
      </c>
      <c r="E17" s="7">
        <v>3</v>
      </c>
      <c r="F17" s="11"/>
      <c r="G17" s="25">
        <v>18000</v>
      </c>
      <c r="H17" s="23" t="s">
        <v>222</v>
      </c>
      <c r="I17" s="11">
        <v>3</v>
      </c>
      <c r="J17" s="11">
        <v>0</v>
      </c>
      <c r="K17" s="13">
        <v>10</v>
      </c>
      <c r="L17" s="8" t="s">
        <v>210</v>
      </c>
      <c r="M17" s="12" t="s">
        <v>224</v>
      </c>
    </row>
    <row r="18" spans="1:13" ht="16.5">
      <c r="A18" s="11">
        <f t="shared" si="0"/>
        <v>1015</v>
      </c>
      <c r="B18" s="12">
        <v>1</v>
      </c>
      <c r="C18" s="11">
        <f>COUNTIF($B$4:B18,B18)</f>
        <v>15</v>
      </c>
      <c r="D18" s="25" t="s">
        <v>201</v>
      </c>
      <c r="E18" s="7">
        <v>3</v>
      </c>
      <c r="F18" s="11"/>
      <c r="G18" s="25">
        <v>20000</v>
      </c>
      <c r="H18" s="23" t="s">
        <v>222</v>
      </c>
      <c r="I18" s="11">
        <v>3</v>
      </c>
      <c r="J18" s="11">
        <v>0</v>
      </c>
      <c r="K18" s="13">
        <v>10</v>
      </c>
      <c r="L18" s="8" t="s">
        <v>210</v>
      </c>
      <c r="M18" s="12" t="s">
        <v>224</v>
      </c>
    </row>
    <row r="19" spans="1:13" ht="16.5">
      <c r="A19" s="11">
        <f t="shared" si="0"/>
        <v>1016</v>
      </c>
      <c r="B19" s="12">
        <v>1</v>
      </c>
      <c r="C19" s="11">
        <f>COUNTIF($B$4:B19,B19)</f>
        <v>16</v>
      </c>
      <c r="D19" s="25" t="s">
        <v>201</v>
      </c>
      <c r="E19" s="7">
        <v>3</v>
      </c>
      <c r="F19" s="11"/>
      <c r="G19" s="25">
        <v>22000</v>
      </c>
      <c r="H19" s="23" t="s">
        <v>222</v>
      </c>
      <c r="I19" s="11">
        <v>3</v>
      </c>
      <c r="J19" s="11">
        <v>0</v>
      </c>
      <c r="K19" s="13">
        <v>10</v>
      </c>
      <c r="L19" s="8" t="s">
        <v>210</v>
      </c>
      <c r="M19" s="12" t="s">
        <v>224</v>
      </c>
    </row>
    <row r="20" spans="1:13" ht="16.5">
      <c r="A20" s="11">
        <f t="shared" si="0"/>
        <v>1017</v>
      </c>
      <c r="B20" s="12">
        <v>1</v>
      </c>
      <c r="C20" s="11">
        <f>COUNTIF($B$4:B20,B20)</f>
        <v>17</v>
      </c>
      <c r="D20" s="25" t="s">
        <v>201</v>
      </c>
      <c r="E20" s="7">
        <v>3</v>
      </c>
      <c r="F20" s="11"/>
      <c r="G20" s="25">
        <v>24000</v>
      </c>
      <c r="H20" s="23" t="s">
        <v>222</v>
      </c>
      <c r="I20" s="11">
        <v>3</v>
      </c>
      <c r="J20" s="11">
        <v>0</v>
      </c>
      <c r="K20" s="13">
        <v>10</v>
      </c>
      <c r="L20" s="8" t="s">
        <v>210</v>
      </c>
      <c r="M20" s="12" t="s">
        <v>224</v>
      </c>
    </row>
    <row r="21" spans="1:13" ht="16.5">
      <c r="A21" s="11">
        <f t="shared" si="0"/>
        <v>1018</v>
      </c>
      <c r="B21" s="12">
        <v>1</v>
      </c>
      <c r="C21" s="11">
        <f>COUNTIF($B$4:B21,B21)</f>
        <v>18</v>
      </c>
      <c r="D21" s="25" t="s">
        <v>201</v>
      </c>
      <c r="E21" s="7">
        <v>3</v>
      </c>
      <c r="F21" s="11"/>
      <c r="G21" s="25">
        <v>26000</v>
      </c>
      <c r="H21" s="23" t="s">
        <v>222</v>
      </c>
      <c r="I21" s="11">
        <v>3</v>
      </c>
      <c r="J21" s="11">
        <v>0</v>
      </c>
      <c r="K21" s="13">
        <v>10</v>
      </c>
      <c r="L21" s="8" t="s">
        <v>210</v>
      </c>
      <c r="M21" s="12" t="s">
        <v>224</v>
      </c>
    </row>
    <row r="22" spans="1:13" ht="16.5">
      <c r="A22" s="11">
        <f t="shared" si="0"/>
        <v>1019</v>
      </c>
      <c r="B22" s="12">
        <v>1</v>
      </c>
      <c r="C22" s="11">
        <f>COUNTIF($B$4:B22,B22)</f>
        <v>19</v>
      </c>
      <c r="D22" s="25" t="s">
        <v>201</v>
      </c>
      <c r="E22" s="7">
        <v>3</v>
      </c>
      <c r="F22" s="11"/>
      <c r="G22" s="25">
        <v>28000</v>
      </c>
      <c r="H22" s="23" t="s">
        <v>222</v>
      </c>
      <c r="I22" s="11">
        <v>3</v>
      </c>
      <c r="J22" s="11">
        <v>0</v>
      </c>
      <c r="K22" s="13">
        <v>10</v>
      </c>
      <c r="L22" s="8" t="s">
        <v>210</v>
      </c>
      <c r="M22" s="12" t="s">
        <v>224</v>
      </c>
    </row>
    <row r="23" spans="1:13" ht="16.5">
      <c r="A23" s="11">
        <f t="shared" si="0"/>
        <v>1020</v>
      </c>
      <c r="B23" s="12">
        <v>1</v>
      </c>
      <c r="C23" s="11">
        <f>COUNTIF($B$4:B23,B23)</f>
        <v>20</v>
      </c>
      <c r="D23" s="25" t="s">
        <v>201</v>
      </c>
      <c r="E23" s="7">
        <v>3</v>
      </c>
      <c r="F23" s="11"/>
      <c r="G23" s="25">
        <v>30000</v>
      </c>
      <c r="H23" s="23" t="s">
        <v>222</v>
      </c>
      <c r="I23" s="11">
        <v>3</v>
      </c>
      <c r="J23" s="11">
        <v>0</v>
      </c>
      <c r="K23" s="13">
        <v>10</v>
      </c>
      <c r="L23" s="8" t="s">
        <v>210</v>
      </c>
      <c r="M23" s="12" t="s">
        <v>224</v>
      </c>
    </row>
    <row r="24" spans="1:13" ht="16.5">
      <c r="A24" s="11">
        <f t="shared" si="0"/>
        <v>3001</v>
      </c>
      <c r="B24" s="11">
        <v>3</v>
      </c>
      <c r="C24" s="11">
        <f>COUNTIF($B$4:B24,B24)</f>
        <v>1</v>
      </c>
      <c r="D24" s="25" t="s">
        <v>202</v>
      </c>
      <c r="E24" s="11">
        <v>1007</v>
      </c>
      <c r="F24" s="11"/>
      <c r="G24" s="25">
        <v>3000</v>
      </c>
      <c r="H24" s="25" t="s">
        <v>225</v>
      </c>
      <c r="I24" s="11">
        <v>3</v>
      </c>
      <c r="J24" s="11">
        <v>0</v>
      </c>
      <c r="K24" s="13">
        <v>10</v>
      </c>
      <c r="L24" s="8" t="s">
        <v>211</v>
      </c>
      <c r="M24" s="12" t="s">
        <v>223</v>
      </c>
    </row>
    <row r="25" spans="1:13" ht="16.5">
      <c r="A25" s="11">
        <f t="shared" si="0"/>
        <v>3002</v>
      </c>
      <c r="B25" s="11">
        <v>3</v>
      </c>
      <c r="C25" s="11">
        <f>COUNTIF($B$4:B25,B25)</f>
        <v>2</v>
      </c>
      <c r="D25" s="25" t="s">
        <v>202</v>
      </c>
      <c r="E25" s="11">
        <v>1007</v>
      </c>
      <c r="F25" s="11"/>
      <c r="G25" s="25">
        <v>7000</v>
      </c>
      <c r="H25" s="22" t="s">
        <v>225</v>
      </c>
      <c r="I25" s="11">
        <v>3</v>
      </c>
      <c r="J25" s="11">
        <v>0</v>
      </c>
      <c r="K25" s="13">
        <v>10</v>
      </c>
      <c r="L25" s="8" t="s">
        <v>211</v>
      </c>
      <c r="M25" s="12" t="s">
        <v>223</v>
      </c>
    </row>
    <row r="26" spans="1:13" ht="16.5">
      <c r="A26" s="11">
        <f t="shared" si="0"/>
        <v>3003</v>
      </c>
      <c r="B26" s="11">
        <v>3</v>
      </c>
      <c r="C26" s="11">
        <f>COUNTIF($B$4:B26,B26)</f>
        <v>3</v>
      </c>
      <c r="D26" s="25" t="s">
        <v>202</v>
      </c>
      <c r="E26" s="11">
        <v>1007</v>
      </c>
      <c r="F26" s="11"/>
      <c r="G26" s="25">
        <v>10000</v>
      </c>
      <c r="H26" s="22" t="s">
        <v>225</v>
      </c>
      <c r="I26" s="11">
        <v>3</v>
      </c>
      <c r="J26" s="11">
        <v>0</v>
      </c>
      <c r="K26" s="13">
        <v>10</v>
      </c>
      <c r="L26" s="8" t="s">
        <v>211</v>
      </c>
      <c r="M26" s="12" t="s">
        <v>223</v>
      </c>
    </row>
    <row r="27" spans="1:13" ht="16.5">
      <c r="A27" s="11">
        <f t="shared" si="0"/>
        <v>3004</v>
      </c>
      <c r="B27" s="11">
        <v>3</v>
      </c>
      <c r="C27" s="11">
        <f>COUNTIF($B$4:B27,B27)</f>
        <v>4</v>
      </c>
      <c r="D27" s="25" t="s">
        <v>202</v>
      </c>
      <c r="E27" s="11">
        <v>1007</v>
      </c>
      <c r="F27" s="11"/>
      <c r="G27" s="25">
        <v>15000</v>
      </c>
      <c r="H27" s="22" t="s">
        <v>225</v>
      </c>
      <c r="I27" s="11">
        <v>3</v>
      </c>
      <c r="J27" s="11">
        <v>0</v>
      </c>
      <c r="K27" s="13">
        <v>10</v>
      </c>
      <c r="L27" s="8" t="s">
        <v>211</v>
      </c>
      <c r="M27" s="12" t="s">
        <v>223</v>
      </c>
    </row>
    <row r="28" spans="1:13" ht="16.5">
      <c r="A28" s="11">
        <f t="shared" si="0"/>
        <v>3005</v>
      </c>
      <c r="B28" s="11">
        <v>3</v>
      </c>
      <c r="C28" s="11">
        <f>COUNTIF($B$4:B28,B28)</f>
        <v>5</v>
      </c>
      <c r="D28" s="25" t="s">
        <v>202</v>
      </c>
      <c r="E28" s="11">
        <v>1007</v>
      </c>
      <c r="F28" s="11"/>
      <c r="G28" s="25">
        <v>18000</v>
      </c>
      <c r="H28" s="22" t="s">
        <v>225</v>
      </c>
      <c r="I28" s="11">
        <v>3</v>
      </c>
      <c r="J28" s="11">
        <v>0</v>
      </c>
      <c r="K28" s="13">
        <v>10</v>
      </c>
      <c r="L28" s="8" t="s">
        <v>211</v>
      </c>
      <c r="M28" s="12" t="s">
        <v>223</v>
      </c>
    </row>
    <row r="29" spans="1:13" ht="16.5">
      <c r="A29" s="11">
        <f t="shared" si="0"/>
        <v>3006</v>
      </c>
      <c r="B29" s="11">
        <v>3</v>
      </c>
      <c r="C29" s="11">
        <f>COUNTIF($B$4:B29,B29)</f>
        <v>6</v>
      </c>
      <c r="D29" s="25" t="s">
        <v>202</v>
      </c>
      <c r="E29" s="11">
        <v>1007</v>
      </c>
      <c r="F29" s="11"/>
      <c r="G29" s="25">
        <v>30000</v>
      </c>
      <c r="H29" s="22" t="s">
        <v>225</v>
      </c>
      <c r="I29" s="11">
        <v>3</v>
      </c>
      <c r="J29" s="11">
        <v>0</v>
      </c>
      <c r="K29" s="13">
        <v>10</v>
      </c>
      <c r="L29" s="8" t="s">
        <v>211</v>
      </c>
      <c r="M29" s="12" t="s">
        <v>223</v>
      </c>
    </row>
    <row r="30" spans="1:13" ht="16.5">
      <c r="A30" s="11">
        <f t="shared" si="0"/>
        <v>3007</v>
      </c>
      <c r="B30" s="11">
        <v>3</v>
      </c>
      <c r="C30" s="11">
        <f>COUNTIF($B$4:B30,B30)</f>
        <v>7</v>
      </c>
      <c r="D30" s="25" t="s">
        <v>202</v>
      </c>
      <c r="E30" s="11">
        <v>1007</v>
      </c>
      <c r="F30" s="11"/>
      <c r="G30" s="25">
        <v>50000</v>
      </c>
      <c r="H30" s="22" t="s">
        <v>225</v>
      </c>
      <c r="I30" s="11">
        <v>3</v>
      </c>
      <c r="J30" s="11">
        <v>0</v>
      </c>
      <c r="K30" s="13">
        <v>10</v>
      </c>
      <c r="L30" s="8" t="s">
        <v>211</v>
      </c>
      <c r="M30" s="12" t="s">
        <v>223</v>
      </c>
    </row>
    <row r="31" spans="1:13" ht="16.5">
      <c r="A31" s="11">
        <f t="shared" si="0"/>
        <v>3008</v>
      </c>
      <c r="B31" s="11">
        <v>3</v>
      </c>
      <c r="C31" s="11">
        <f>COUNTIF($B$4:B31,B31)</f>
        <v>8</v>
      </c>
      <c r="D31" s="25" t="s">
        <v>202</v>
      </c>
      <c r="E31" s="11">
        <v>1007</v>
      </c>
      <c r="F31" s="11"/>
      <c r="G31" s="25">
        <v>80000</v>
      </c>
      <c r="H31" s="22" t="s">
        <v>225</v>
      </c>
      <c r="I31" s="11">
        <v>3</v>
      </c>
      <c r="J31" s="11">
        <v>0</v>
      </c>
      <c r="K31" s="13">
        <v>10</v>
      </c>
      <c r="L31" s="8" t="s">
        <v>211</v>
      </c>
      <c r="M31" s="12" t="s">
        <v>223</v>
      </c>
    </row>
    <row r="32" spans="1:13" ht="16.5">
      <c r="A32" s="11">
        <f t="shared" si="0"/>
        <v>3009</v>
      </c>
      <c r="B32" s="11">
        <v>3</v>
      </c>
      <c r="C32" s="11">
        <f>COUNTIF($B$4:B32,B32)</f>
        <v>9</v>
      </c>
      <c r="D32" s="25" t="s">
        <v>202</v>
      </c>
      <c r="E32" s="11">
        <v>1007</v>
      </c>
      <c r="F32" s="11"/>
      <c r="G32" s="25">
        <v>100000</v>
      </c>
      <c r="H32" s="22" t="s">
        <v>225</v>
      </c>
      <c r="I32" s="11">
        <v>3</v>
      </c>
      <c r="J32" s="11">
        <v>0</v>
      </c>
      <c r="K32" s="13">
        <v>10</v>
      </c>
      <c r="L32" s="8" t="s">
        <v>211</v>
      </c>
      <c r="M32" s="12" t="s">
        <v>223</v>
      </c>
    </row>
    <row r="33" spans="1:13">
      <c r="A33" s="11">
        <f t="shared" si="0"/>
        <v>3010</v>
      </c>
      <c r="B33" s="11">
        <v>3</v>
      </c>
      <c r="C33" s="11">
        <f>COUNTIF($B$4:B33,B33)</f>
        <v>10</v>
      </c>
      <c r="D33" s="25" t="s">
        <v>202</v>
      </c>
      <c r="E33" s="11">
        <v>1007</v>
      </c>
      <c r="G33" s="25">
        <v>150000</v>
      </c>
      <c r="H33" t="s">
        <v>225</v>
      </c>
      <c r="I33" s="11">
        <v>3</v>
      </c>
      <c r="J33" s="11">
        <v>0</v>
      </c>
      <c r="K33" s="13">
        <v>10</v>
      </c>
      <c r="L33" s="8" t="s">
        <v>211</v>
      </c>
      <c r="M33" s="11" t="s">
        <v>223</v>
      </c>
    </row>
    <row r="34" spans="1:13">
      <c r="A34" s="11">
        <f t="shared" si="0"/>
        <v>3011</v>
      </c>
      <c r="B34" s="11">
        <v>3</v>
      </c>
      <c r="C34" s="11">
        <f>COUNTIF($B$4:B34,B34)</f>
        <v>11</v>
      </c>
      <c r="D34" s="25" t="s">
        <v>202</v>
      </c>
      <c r="E34" s="11">
        <v>1007</v>
      </c>
      <c r="G34" s="25">
        <v>180000</v>
      </c>
      <c r="H34" t="s">
        <v>225</v>
      </c>
      <c r="I34" s="11">
        <v>3</v>
      </c>
      <c r="J34" s="11">
        <v>0</v>
      </c>
      <c r="K34" s="13">
        <v>10</v>
      </c>
      <c r="L34" s="8" t="s">
        <v>211</v>
      </c>
      <c r="M34" s="11" t="s">
        <v>223</v>
      </c>
    </row>
    <row r="35" spans="1:13">
      <c r="A35" s="11">
        <f t="shared" si="0"/>
        <v>3012</v>
      </c>
      <c r="B35" s="11">
        <v>3</v>
      </c>
      <c r="C35" s="11">
        <f>COUNTIF($B$4:B35,B35)</f>
        <v>12</v>
      </c>
      <c r="D35" s="25" t="s">
        <v>202</v>
      </c>
      <c r="E35" s="11">
        <v>1007</v>
      </c>
      <c r="G35" s="25">
        <v>210000</v>
      </c>
      <c r="H35" t="s">
        <v>225</v>
      </c>
      <c r="I35" s="11">
        <v>3</v>
      </c>
      <c r="J35" s="11">
        <v>0</v>
      </c>
      <c r="K35" s="13">
        <v>10</v>
      </c>
      <c r="L35" s="8" t="s">
        <v>211</v>
      </c>
      <c r="M35" s="11" t="s">
        <v>223</v>
      </c>
    </row>
    <row r="36" spans="1:13">
      <c r="A36" s="11">
        <f t="shared" si="0"/>
        <v>3013</v>
      </c>
      <c r="B36" s="11">
        <v>3</v>
      </c>
      <c r="C36" s="11">
        <f>COUNTIF($B$4:B36,B36)</f>
        <v>13</v>
      </c>
      <c r="D36" s="25" t="s">
        <v>202</v>
      </c>
      <c r="E36" s="11">
        <v>1007</v>
      </c>
      <c r="G36" s="25">
        <v>240000</v>
      </c>
      <c r="H36" t="s">
        <v>225</v>
      </c>
      <c r="I36" s="11">
        <v>3</v>
      </c>
      <c r="J36" s="11">
        <v>0</v>
      </c>
      <c r="K36" s="13">
        <v>10</v>
      </c>
      <c r="L36" s="8" t="s">
        <v>211</v>
      </c>
      <c r="M36" s="11" t="s">
        <v>223</v>
      </c>
    </row>
    <row r="37" spans="1:13">
      <c r="A37" s="11">
        <f t="shared" si="0"/>
        <v>3014</v>
      </c>
      <c r="B37" s="11">
        <v>3</v>
      </c>
      <c r="C37" s="11">
        <f>COUNTIF($B$4:B37,B37)</f>
        <v>14</v>
      </c>
      <c r="D37" s="25" t="s">
        <v>202</v>
      </c>
      <c r="E37" s="11">
        <v>1007</v>
      </c>
      <c r="G37" s="25">
        <v>270000</v>
      </c>
      <c r="H37" t="s">
        <v>225</v>
      </c>
      <c r="I37" s="11">
        <v>3</v>
      </c>
      <c r="J37" s="11">
        <v>0</v>
      </c>
      <c r="K37" s="13">
        <v>10</v>
      </c>
      <c r="L37" s="8" t="s">
        <v>211</v>
      </c>
      <c r="M37" s="11" t="s">
        <v>223</v>
      </c>
    </row>
    <row r="38" spans="1:13">
      <c r="A38" s="11">
        <f t="shared" si="0"/>
        <v>3015</v>
      </c>
      <c r="B38" s="11">
        <v>3</v>
      </c>
      <c r="C38" s="11">
        <f>COUNTIF($B$4:B38,B38)</f>
        <v>15</v>
      </c>
      <c r="D38" s="25" t="s">
        <v>202</v>
      </c>
      <c r="E38" s="11">
        <v>1007</v>
      </c>
      <c r="G38" s="25">
        <v>300000</v>
      </c>
      <c r="H38" t="s">
        <v>225</v>
      </c>
      <c r="I38" s="11">
        <v>3</v>
      </c>
      <c r="J38" s="11">
        <v>0</v>
      </c>
      <c r="K38" s="13">
        <v>10</v>
      </c>
      <c r="L38" s="8" t="s">
        <v>211</v>
      </c>
      <c r="M38" s="11" t="s">
        <v>223</v>
      </c>
    </row>
    <row r="39" spans="1:13">
      <c r="A39" s="11">
        <f t="shared" si="0"/>
        <v>3016</v>
      </c>
      <c r="B39" s="11">
        <v>3</v>
      </c>
      <c r="C39" s="11">
        <f>COUNTIF($B$4:B39,B39)</f>
        <v>16</v>
      </c>
      <c r="D39" s="25" t="s">
        <v>202</v>
      </c>
      <c r="E39" s="11">
        <v>1007</v>
      </c>
      <c r="G39" s="25">
        <v>330000</v>
      </c>
      <c r="H39" t="s">
        <v>225</v>
      </c>
      <c r="I39" s="11">
        <v>3</v>
      </c>
      <c r="J39" s="11">
        <v>0</v>
      </c>
      <c r="K39" s="13">
        <v>10</v>
      </c>
      <c r="L39" s="8" t="s">
        <v>211</v>
      </c>
      <c r="M39" s="11" t="s">
        <v>223</v>
      </c>
    </row>
    <row r="40" spans="1:13">
      <c r="A40" s="11">
        <f t="shared" si="0"/>
        <v>3017</v>
      </c>
      <c r="B40" s="11">
        <v>3</v>
      </c>
      <c r="C40" s="11">
        <f>COUNTIF($B$4:B40,B40)</f>
        <v>17</v>
      </c>
      <c r="D40" s="25" t="s">
        <v>202</v>
      </c>
      <c r="E40" s="11">
        <v>1007</v>
      </c>
      <c r="G40" s="25">
        <v>360000</v>
      </c>
      <c r="H40" t="s">
        <v>225</v>
      </c>
      <c r="I40" s="11">
        <v>3</v>
      </c>
      <c r="J40" s="11">
        <v>0</v>
      </c>
      <c r="K40" s="13">
        <v>10</v>
      </c>
      <c r="L40" s="8" t="s">
        <v>211</v>
      </c>
      <c r="M40" s="11" t="s">
        <v>223</v>
      </c>
    </row>
    <row r="41" spans="1:13">
      <c r="A41" s="11">
        <f t="shared" si="0"/>
        <v>3018</v>
      </c>
      <c r="B41" s="11">
        <v>3</v>
      </c>
      <c r="C41" s="11">
        <f>COUNTIF($B$4:B41,B41)</f>
        <v>18</v>
      </c>
      <c r="D41" s="25" t="s">
        <v>202</v>
      </c>
      <c r="E41" s="11">
        <v>1007</v>
      </c>
      <c r="G41" s="25">
        <v>390000</v>
      </c>
      <c r="H41" t="s">
        <v>225</v>
      </c>
      <c r="I41" s="11">
        <v>3</v>
      </c>
      <c r="J41" s="11">
        <v>0</v>
      </c>
      <c r="K41" s="13">
        <v>10</v>
      </c>
      <c r="L41" s="8" t="s">
        <v>211</v>
      </c>
      <c r="M41" s="11" t="s">
        <v>223</v>
      </c>
    </row>
    <row r="42" spans="1:13">
      <c r="A42" s="11">
        <f t="shared" si="0"/>
        <v>3019</v>
      </c>
      <c r="B42" s="11">
        <v>3</v>
      </c>
      <c r="C42" s="11">
        <f>COUNTIF($B$4:B42,B42)</f>
        <v>19</v>
      </c>
      <c r="D42" s="25" t="s">
        <v>202</v>
      </c>
      <c r="E42" s="11">
        <v>1007</v>
      </c>
      <c r="G42" s="25">
        <v>420000</v>
      </c>
      <c r="H42" t="s">
        <v>225</v>
      </c>
      <c r="I42" s="11">
        <v>3</v>
      </c>
      <c r="J42" s="11">
        <v>0</v>
      </c>
      <c r="K42" s="13">
        <v>10</v>
      </c>
      <c r="L42" s="8" t="s">
        <v>211</v>
      </c>
      <c r="M42" s="11" t="s">
        <v>223</v>
      </c>
    </row>
    <row r="43" spans="1:13">
      <c r="A43" s="11">
        <f t="shared" si="0"/>
        <v>3020</v>
      </c>
      <c r="B43" s="11">
        <v>3</v>
      </c>
      <c r="C43" s="11">
        <f>COUNTIF($B$4:B43,B43)</f>
        <v>20</v>
      </c>
      <c r="D43" s="25" t="s">
        <v>202</v>
      </c>
      <c r="E43" s="11">
        <v>1007</v>
      </c>
      <c r="G43" s="25">
        <v>450000</v>
      </c>
      <c r="H43" t="s">
        <v>225</v>
      </c>
      <c r="I43" s="11">
        <v>3</v>
      </c>
      <c r="J43" s="11">
        <v>0</v>
      </c>
      <c r="K43" s="13">
        <v>10</v>
      </c>
      <c r="L43" s="8" t="s">
        <v>211</v>
      </c>
      <c r="M43" s="11" t="s">
        <v>223</v>
      </c>
    </row>
    <row r="44" spans="1:13">
      <c r="A44" s="11">
        <f t="shared" si="0"/>
        <v>4001</v>
      </c>
      <c r="B44" s="11">
        <v>4</v>
      </c>
      <c r="C44" s="11">
        <f>COUNTIF($B$4:B44,B44)</f>
        <v>1</v>
      </c>
      <c r="D44" s="25" t="s">
        <v>203</v>
      </c>
      <c r="E44" s="11">
        <v>11</v>
      </c>
      <c r="G44" s="25">
        <v>3</v>
      </c>
      <c r="H44" t="s">
        <v>226</v>
      </c>
      <c r="I44" s="11">
        <v>3</v>
      </c>
      <c r="J44" s="11">
        <v>0</v>
      </c>
      <c r="K44" s="13">
        <v>10</v>
      </c>
      <c r="L44" s="11" t="s">
        <v>212</v>
      </c>
      <c r="M44" s="11" t="s">
        <v>221</v>
      </c>
    </row>
    <row r="45" spans="1:13">
      <c r="A45" s="11">
        <f t="shared" si="0"/>
        <v>4002</v>
      </c>
      <c r="B45" s="11">
        <v>4</v>
      </c>
      <c r="C45" s="11">
        <f>COUNTIF($B$4:B45,B45)</f>
        <v>2</v>
      </c>
      <c r="D45" s="25" t="s">
        <v>203</v>
      </c>
      <c r="E45" s="11">
        <v>11</v>
      </c>
      <c r="G45" s="25">
        <v>10</v>
      </c>
      <c r="H45" t="s">
        <v>226</v>
      </c>
      <c r="I45" s="11">
        <v>3</v>
      </c>
      <c r="J45" s="11">
        <v>0</v>
      </c>
      <c r="K45" s="13">
        <v>10</v>
      </c>
      <c r="L45" s="11" t="s">
        <v>212</v>
      </c>
      <c r="M45" s="11" t="s">
        <v>221</v>
      </c>
    </row>
    <row r="46" spans="1:13">
      <c r="A46" s="11">
        <f t="shared" si="0"/>
        <v>4003</v>
      </c>
      <c r="B46" s="11">
        <v>4</v>
      </c>
      <c r="C46" s="11">
        <f>COUNTIF($B$4:B46,B46)</f>
        <v>3</v>
      </c>
      <c r="D46" s="25" t="s">
        <v>203</v>
      </c>
      <c r="E46" s="11">
        <v>11</v>
      </c>
      <c r="G46" s="25">
        <v>20</v>
      </c>
      <c r="H46" t="s">
        <v>226</v>
      </c>
      <c r="I46" s="11">
        <v>3</v>
      </c>
      <c r="J46" s="11">
        <v>0</v>
      </c>
      <c r="K46" s="13">
        <v>10</v>
      </c>
      <c r="L46" s="11" t="s">
        <v>212</v>
      </c>
      <c r="M46" s="11" t="s">
        <v>221</v>
      </c>
    </row>
    <row r="47" spans="1:13">
      <c r="A47" s="11">
        <f t="shared" si="0"/>
        <v>4004</v>
      </c>
      <c r="B47" s="11">
        <v>4</v>
      </c>
      <c r="C47" s="11">
        <f>COUNTIF($B$4:B47,B47)</f>
        <v>4</v>
      </c>
      <c r="D47" s="25" t="s">
        <v>203</v>
      </c>
      <c r="E47" s="11">
        <v>11</v>
      </c>
      <c r="G47" s="25">
        <v>40</v>
      </c>
      <c r="H47" t="s">
        <v>226</v>
      </c>
      <c r="I47" s="11">
        <v>3</v>
      </c>
      <c r="J47" s="11">
        <v>0</v>
      </c>
      <c r="K47" s="13">
        <v>10</v>
      </c>
      <c r="L47" s="11" t="s">
        <v>212</v>
      </c>
      <c r="M47" s="11" t="s">
        <v>221</v>
      </c>
    </row>
    <row r="48" spans="1:13">
      <c r="A48" s="11">
        <f t="shared" si="0"/>
        <v>4005</v>
      </c>
      <c r="B48" s="11">
        <v>4</v>
      </c>
      <c r="C48" s="11">
        <f>COUNTIF($B$4:B48,B48)</f>
        <v>5</v>
      </c>
      <c r="D48" s="25" t="s">
        <v>203</v>
      </c>
      <c r="E48" s="11">
        <v>11</v>
      </c>
      <c r="G48" s="25">
        <v>70</v>
      </c>
      <c r="H48" t="s">
        <v>226</v>
      </c>
      <c r="I48" s="11">
        <v>3</v>
      </c>
      <c r="J48" s="11">
        <v>0</v>
      </c>
      <c r="K48" s="13">
        <v>10</v>
      </c>
      <c r="L48" s="11" t="s">
        <v>212</v>
      </c>
      <c r="M48" s="11" t="s">
        <v>221</v>
      </c>
    </row>
    <row r="49" spans="1:13">
      <c r="A49" s="11">
        <f t="shared" si="0"/>
        <v>4006</v>
      </c>
      <c r="B49" s="11">
        <v>4</v>
      </c>
      <c r="C49" s="11">
        <f>COUNTIF($B$4:B49,B49)</f>
        <v>6</v>
      </c>
      <c r="D49" s="25" t="s">
        <v>203</v>
      </c>
      <c r="E49" s="11">
        <v>11</v>
      </c>
      <c r="G49" s="25">
        <v>80</v>
      </c>
      <c r="H49" t="s">
        <v>226</v>
      </c>
      <c r="I49" s="11">
        <v>3</v>
      </c>
      <c r="J49" s="11">
        <v>0</v>
      </c>
      <c r="K49" s="13">
        <v>10</v>
      </c>
      <c r="L49" s="11" t="s">
        <v>212</v>
      </c>
      <c r="M49" s="11" t="s">
        <v>221</v>
      </c>
    </row>
    <row r="50" spans="1:13">
      <c r="A50" s="11">
        <f t="shared" si="0"/>
        <v>4007</v>
      </c>
      <c r="B50" s="11">
        <v>4</v>
      </c>
      <c r="C50" s="11">
        <f>COUNTIF($B$4:B50,B50)</f>
        <v>7</v>
      </c>
      <c r="D50" s="25" t="s">
        <v>203</v>
      </c>
      <c r="E50" s="11">
        <v>11</v>
      </c>
      <c r="G50" s="25">
        <v>100</v>
      </c>
      <c r="H50" t="s">
        <v>226</v>
      </c>
      <c r="I50" s="11">
        <v>3</v>
      </c>
      <c r="J50" s="11">
        <v>0</v>
      </c>
      <c r="K50" s="13">
        <v>10</v>
      </c>
      <c r="L50" s="11" t="s">
        <v>212</v>
      </c>
      <c r="M50" s="11" t="s">
        <v>221</v>
      </c>
    </row>
    <row r="51" spans="1:13">
      <c r="A51" s="11">
        <f t="shared" si="0"/>
        <v>4008</v>
      </c>
      <c r="B51" s="11">
        <v>4</v>
      </c>
      <c r="C51" s="11">
        <f>COUNTIF($B$4:B51,B51)</f>
        <v>8</v>
      </c>
      <c r="D51" s="25" t="s">
        <v>203</v>
      </c>
      <c r="E51" s="11">
        <v>11</v>
      </c>
      <c r="G51" s="25">
        <v>110</v>
      </c>
      <c r="H51" t="s">
        <v>226</v>
      </c>
      <c r="I51" s="11">
        <v>3</v>
      </c>
      <c r="J51" s="11">
        <v>0</v>
      </c>
      <c r="K51" s="13">
        <v>10</v>
      </c>
      <c r="L51" s="11" t="s">
        <v>212</v>
      </c>
      <c r="M51" s="11" t="s">
        <v>221</v>
      </c>
    </row>
    <row r="52" spans="1:13">
      <c r="A52" s="11">
        <f t="shared" si="0"/>
        <v>4009</v>
      </c>
      <c r="B52" s="11">
        <v>4</v>
      </c>
      <c r="C52" s="11">
        <f>COUNTIF($B$4:B52,B52)</f>
        <v>9</v>
      </c>
      <c r="D52" s="25" t="s">
        <v>203</v>
      </c>
      <c r="E52" s="11">
        <v>11</v>
      </c>
      <c r="G52" s="25">
        <v>130</v>
      </c>
      <c r="H52" t="s">
        <v>226</v>
      </c>
      <c r="I52" s="11">
        <v>3</v>
      </c>
      <c r="J52" s="11">
        <v>0</v>
      </c>
      <c r="K52" s="13">
        <v>10</v>
      </c>
      <c r="L52" s="11" t="s">
        <v>212</v>
      </c>
      <c r="M52" s="11" t="s">
        <v>221</v>
      </c>
    </row>
    <row r="53" spans="1:13">
      <c r="A53" s="11">
        <f t="shared" si="0"/>
        <v>4010</v>
      </c>
      <c r="B53" s="11">
        <v>4</v>
      </c>
      <c r="C53" s="11">
        <f>COUNTIF($B$4:B53,B53)</f>
        <v>10</v>
      </c>
      <c r="D53" s="25" t="s">
        <v>203</v>
      </c>
      <c r="E53" s="11">
        <v>11</v>
      </c>
      <c r="G53" s="25">
        <v>150</v>
      </c>
      <c r="H53" t="s">
        <v>226</v>
      </c>
      <c r="I53" s="11">
        <v>3</v>
      </c>
      <c r="J53" s="11">
        <v>0</v>
      </c>
      <c r="K53" s="13">
        <v>10</v>
      </c>
      <c r="L53" s="11" t="s">
        <v>212</v>
      </c>
      <c r="M53" s="11" t="s">
        <v>221</v>
      </c>
    </row>
    <row r="54" spans="1:13">
      <c r="A54" s="11">
        <f t="shared" si="0"/>
        <v>6001</v>
      </c>
      <c r="B54" s="11">
        <v>6</v>
      </c>
      <c r="C54" s="11">
        <f>COUNTIF($B$4:B54,B54)</f>
        <v>1</v>
      </c>
      <c r="D54" s="25" t="s">
        <v>204</v>
      </c>
      <c r="E54" s="11">
        <v>34</v>
      </c>
      <c r="G54" s="25">
        <v>5000</v>
      </c>
      <c r="H54" t="s">
        <v>227</v>
      </c>
      <c r="I54" s="11">
        <v>3</v>
      </c>
      <c r="J54" s="11">
        <v>0</v>
      </c>
      <c r="K54" s="13">
        <v>10</v>
      </c>
      <c r="L54" s="11" t="s">
        <v>213</v>
      </c>
      <c r="M54" s="11" t="s">
        <v>217</v>
      </c>
    </row>
    <row r="55" spans="1:13">
      <c r="A55" s="11">
        <f t="shared" si="0"/>
        <v>6002</v>
      </c>
      <c r="B55" s="11">
        <v>6</v>
      </c>
      <c r="C55" s="11">
        <f>COUNTIF($B$4:B55,B55)</f>
        <v>2</v>
      </c>
      <c r="D55" s="25" t="s">
        <v>204</v>
      </c>
      <c r="E55" s="11">
        <v>34</v>
      </c>
      <c r="G55" s="25">
        <v>50000</v>
      </c>
      <c r="H55" t="s">
        <v>227</v>
      </c>
      <c r="I55" s="11">
        <v>3</v>
      </c>
      <c r="J55" s="11">
        <v>0</v>
      </c>
      <c r="K55" s="13">
        <v>10</v>
      </c>
      <c r="L55" s="11" t="s">
        <v>213</v>
      </c>
      <c r="M55" s="11" t="s">
        <v>217</v>
      </c>
    </row>
    <row r="56" spans="1:13">
      <c r="A56" s="11">
        <f t="shared" si="0"/>
        <v>6003</v>
      </c>
      <c r="B56" s="11">
        <v>6</v>
      </c>
      <c r="C56" s="11">
        <f>COUNTIF($B$4:B56,B56)</f>
        <v>3</v>
      </c>
      <c r="D56" s="25" t="s">
        <v>204</v>
      </c>
      <c r="E56" s="11">
        <v>34</v>
      </c>
      <c r="G56" s="25">
        <v>200000</v>
      </c>
      <c r="H56" t="s">
        <v>227</v>
      </c>
      <c r="I56" s="11">
        <v>3</v>
      </c>
      <c r="J56" s="11">
        <v>0</v>
      </c>
      <c r="K56" s="13">
        <v>10</v>
      </c>
      <c r="L56" s="11" t="s">
        <v>213</v>
      </c>
      <c r="M56" s="11" t="s">
        <v>217</v>
      </c>
    </row>
    <row r="57" spans="1:13">
      <c r="A57" s="11">
        <f t="shared" si="0"/>
        <v>6004</v>
      </c>
      <c r="B57" s="11">
        <v>6</v>
      </c>
      <c r="C57" s="11">
        <f>COUNTIF($B$4:B57,B57)</f>
        <v>4</v>
      </c>
      <c r="D57" s="25" t="s">
        <v>204</v>
      </c>
      <c r="E57" s="11">
        <v>34</v>
      </c>
      <c r="G57" s="25">
        <v>500000</v>
      </c>
      <c r="H57" t="s">
        <v>227</v>
      </c>
      <c r="I57" s="11">
        <v>3</v>
      </c>
      <c r="J57" s="11">
        <v>0</v>
      </c>
      <c r="K57" s="13">
        <v>10</v>
      </c>
      <c r="L57" s="11" t="s">
        <v>213</v>
      </c>
      <c r="M57" s="11" t="s">
        <v>217</v>
      </c>
    </row>
    <row r="58" spans="1:13">
      <c r="A58" s="11">
        <f t="shared" si="0"/>
        <v>6005</v>
      </c>
      <c r="B58" s="11">
        <v>6</v>
      </c>
      <c r="C58" s="11">
        <f>COUNTIF($B$4:B58,B58)</f>
        <v>5</v>
      </c>
      <c r="D58" s="25" t="s">
        <v>204</v>
      </c>
      <c r="E58" s="11">
        <v>34</v>
      </c>
      <c r="G58" s="25">
        <v>1000000</v>
      </c>
      <c r="H58" t="s">
        <v>227</v>
      </c>
      <c r="I58" s="11">
        <v>3</v>
      </c>
      <c r="J58" s="11">
        <v>0</v>
      </c>
      <c r="K58" s="13">
        <v>10</v>
      </c>
      <c r="L58" s="11" t="s">
        <v>213</v>
      </c>
      <c r="M58" s="11" t="s">
        <v>217</v>
      </c>
    </row>
    <row r="59" spans="1:13">
      <c r="A59" s="11">
        <f t="shared" si="0"/>
        <v>6006</v>
      </c>
      <c r="B59" s="11">
        <v>6</v>
      </c>
      <c r="C59" s="11">
        <f>COUNTIF($B$4:B59,B59)</f>
        <v>6</v>
      </c>
      <c r="D59" s="25" t="s">
        <v>204</v>
      </c>
      <c r="E59" s="11">
        <v>34</v>
      </c>
      <c r="G59" s="25">
        <v>2000000</v>
      </c>
      <c r="H59" t="s">
        <v>227</v>
      </c>
      <c r="I59" s="11">
        <v>3</v>
      </c>
      <c r="J59" s="11">
        <v>0</v>
      </c>
      <c r="K59" s="13">
        <v>10</v>
      </c>
      <c r="L59" s="11" t="s">
        <v>213</v>
      </c>
      <c r="M59" s="11" t="s">
        <v>217</v>
      </c>
    </row>
    <row r="60" spans="1:13">
      <c r="A60" s="11">
        <f t="shared" si="0"/>
        <v>6007</v>
      </c>
      <c r="B60" s="11">
        <v>6</v>
      </c>
      <c r="C60" s="11">
        <f>COUNTIF($B$4:B60,B60)</f>
        <v>7</v>
      </c>
      <c r="D60" s="25" t="s">
        <v>204</v>
      </c>
      <c r="E60" s="11">
        <v>34</v>
      </c>
      <c r="G60" s="25">
        <v>3000000</v>
      </c>
      <c r="H60" t="s">
        <v>227</v>
      </c>
      <c r="I60" s="11">
        <v>3</v>
      </c>
      <c r="J60" s="11">
        <v>0</v>
      </c>
      <c r="K60" s="13">
        <v>10</v>
      </c>
      <c r="L60" s="11" t="s">
        <v>213</v>
      </c>
      <c r="M60" s="11" t="s">
        <v>217</v>
      </c>
    </row>
    <row r="61" spans="1:13">
      <c r="A61" s="11">
        <f t="shared" si="0"/>
        <v>6008</v>
      </c>
      <c r="B61" s="11">
        <v>6</v>
      </c>
      <c r="C61" s="11">
        <f>COUNTIF($B$4:B61,B61)</f>
        <v>8</v>
      </c>
      <c r="D61" s="25" t="s">
        <v>204</v>
      </c>
      <c r="E61" s="11">
        <v>34</v>
      </c>
      <c r="G61" s="25">
        <v>5000000</v>
      </c>
      <c r="H61" t="s">
        <v>227</v>
      </c>
      <c r="I61" s="11">
        <v>3</v>
      </c>
      <c r="J61" s="11">
        <v>0</v>
      </c>
      <c r="K61" s="13">
        <v>10</v>
      </c>
      <c r="L61" s="11" t="s">
        <v>213</v>
      </c>
      <c r="M61" s="11" t="s">
        <v>217</v>
      </c>
    </row>
    <row r="62" spans="1:13">
      <c r="A62" s="11">
        <f t="shared" si="0"/>
        <v>6009</v>
      </c>
      <c r="B62" s="11">
        <v>6</v>
      </c>
      <c r="C62" s="11">
        <f>COUNTIF($B$4:B62,B62)</f>
        <v>9</v>
      </c>
      <c r="D62" s="25" t="s">
        <v>204</v>
      </c>
      <c r="E62" s="11">
        <v>34</v>
      </c>
      <c r="G62" s="25">
        <v>7000000</v>
      </c>
      <c r="H62" t="s">
        <v>227</v>
      </c>
      <c r="I62" s="11">
        <v>3</v>
      </c>
      <c r="J62" s="11">
        <v>0</v>
      </c>
      <c r="K62" s="13">
        <v>10</v>
      </c>
      <c r="L62" s="11" t="s">
        <v>213</v>
      </c>
      <c r="M62" s="11" t="s">
        <v>217</v>
      </c>
    </row>
    <row r="63" spans="1:13">
      <c r="A63" s="11">
        <f t="shared" si="0"/>
        <v>6010</v>
      </c>
      <c r="B63" s="11">
        <v>6</v>
      </c>
      <c r="C63" s="11">
        <f>COUNTIF($B$4:B63,B63)</f>
        <v>10</v>
      </c>
      <c r="D63" s="25" t="s">
        <v>204</v>
      </c>
      <c r="E63" s="11">
        <v>34</v>
      </c>
      <c r="G63" s="25">
        <v>10000000</v>
      </c>
      <c r="H63" t="s">
        <v>227</v>
      </c>
      <c r="I63" s="11">
        <v>3</v>
      </c>
      <c r="J63" s="11">
        <v>0</v>
      </c>
      <c r="K63" s="13">
        <v>10</v>
      </c>
      <c r="L63" s="11" t="s">
        <v>213</v>
      </c>
      <c r="M63" s="11" t="s">
        <v>217</v>
      </c>
    </row>
    <row r="64" spans="1:13">
      <c r="A64" s="11">
        <f t="shared" si="0"/>
        <v>7001</v>
      </c>
      <c r="B64" s="11">
        <v>7</v>
      </c>
      <c r="C64" s="11">
        <f>COUNTIF($B$4:B64,B64)</f>
        <v>1</v>
      </c>
      <c r="D64" s="25" t="s">
        <v>205</v>
      </c>
      <c r="E64" s="11">
        <v>8</v>
      </c>
      <c r="G64" s="25">
        <v>20</v>
      </c>
      <c r="H64" t="s">
        <v>228</v>
      </c>
      <c r="I64" s="11">
        <v>3</v>
      </c>
      <c r="J64" s="11">
        <v>0</v>
      </c>
      <c r="K64" s="13">
        <v>10</v>
      </c>
      <c r="L64" s="11" t="s">
        <v>214</v>
      </c>
      <c r="M64" s="11" t="s">
        <v>218</v>
      </c>
    </row>
    <row r="65" spans="1:13">
      <c r="A65" s="11">
        <f t="shared" si="0"/>
        <v>7002</v>
      </c>
      <c r="B65" s="11">
        <v>7</v>
      </c>
      <c r="C65" s="11">
        <f>COUNTIF($B$4:B65,B65)</f>
        <v>2</v>
      </c>
      <c r="D65" s="25" t="s">
        <v>205</v>
      </c>
      <c r="E65" s="11">
        <v>8</v>
      </c>
      <c r="G65" s="25">
        <v>100</v>
      </c>
      <c r="H65" t="s">
        <v>228</v>
      </c>
      <c r="I65" s="11">
        <v>3</v>
      </c>
      <c r="J65" s="11">
        <v>0</v>
      </c>
      <c r="K65" s="13">
        <v>10</v>
      </c>
      <c r="L65" s="11" t="s">
        <v>214</v>
      </c>
      <c r="M65" s="11" t="s">
        <v>218</v>
      </c>
    </row>
    <row r="66" spans="1:13">
      <c r="A66" s="11">
        <f t="shared" si="0"/>
        <v>7003</v>
      </c>
      <c r="B66" s="11">
        <v>7</v>
      </c>
      <c r="C66" s="11">
        <f>COUNTIF($B$4:B66,B66)</f>
        <v>3</v>
      </c>
      <c r="D66" s="25" t="s">
        <v>205</v>
      </c>
      <c r="E66" s="11">
        <v>8</v>
      </c>
      <c r="G66" s="25">
        <v>300</v>
      </c>
      <c r="H66" t="s">
        <v>228</v>
      </c>
      <c r="I66" s="11">
        <v>3</v>
      </c>
      <c r="J66" s="11">
        <v>0</v>
      </c>
      <c r="K66" s="13">
        <v>10</v>
      </c>
      <c r="L66" s="11" t="s">
        <v>214</v>
      </c>
      <c r="M66" s="11" t="s">
        <v>218</v>
      </c>
    </row>
    <row r="67" spans="1:13">
      <c r="A67" s="11">
        <f t="shared" si="0"/>
        <v>7004</v>
      </c>
      <c r="B67" s="11">
        <v>7</v>
      </c>
      <c r="C67" s="11">
        <f>COUNTIF($B$4:B67,B67)</f>
        <v>4</v>
      </c>
      <c r="D67" s="25" t="s">
        <v>205</v>
      </c>
      <c r="E67" s="11">
        <v>8</v>
      </c>
      <c r="G67" s="25">
        <v>500</v>
      </c>
      <c r="H67" t="s">
        <v>228</v>
      </c>
      <c r="I67" s="11">
        <v>3</v>
      </c>
      <c r="J67" s="11">
        <v>0</v>
      </c>
      <c r="K67" s="13">
        <v>10</v>
      </c>
      <c r="L67" s="11" t="s">
        <v>214</v>
      </c>
      <c r="M67" s="11" t="s">
        <v>218</v>
      </c>
    </row>
    <row r="68" spans="1:13">
      <c r="A68" s="11">
        <f t="shared" si="0"/>
        <v>7005</v>
      </c>
      <c r="B68" s="11">
        <v>7</v>
      </c>
      <c r="C68" s="11">
        <f>COUNTIF($B$4:B68,B68)</f>
        <v>5</v>
      </c>
      <c r="D68" s="25" t="s">
        <v>205</v>
      </c>
      <c r="E68" s="11">
        <v>8</v>
      </c>
      <c r="G68" s="25">
        <v>1000</v>
      </c>
      <c r="H68" t="s">
        <v>228</v>
      </c>
      <c r="I68" s="11">
        <v>3</v>
      </c>
      <c r="J68" s="11">
        <v>0</v>
      </c>
      <c r="K68" s="13">
        <v>10</v>
      </c>
      <c r="L68" s="11" t="s">
        <v>214</v>
      </c>
      <c r="M68" s="11" t="s">
        <v>218</v>
      </c>
    </row>
    <row r="69" spans="1:13">
      <c r="A69" s="11">
        <f t="shared" ref="A69:A93" si="1">B69*1000+C69</f>
        <v>7006</v>
      </c>
      <c r="B69" s="11">
        <v>7</v>
      </c>
      <c r="C69" s="11">
        <f>COUNTIF($B$4:B69,B69)</f>
        <v>6</v>
      </c>
      <c r="D69" s="25" t="s">
        <v>205</v>
      </c>
      <c r="E69" s="11">
        <v>8</v>
      </c>
      <c r="G69" s="25">
        <v>3000</v>
      </c>
      <c r="H69" t="s">
        <v>228</v>
      </c>
      <c r="I69" s="11">
        <v>3</v>
      </c>
      <c r="J69" s="11">
        <v>0</v>
      </c>
      <c r="K69" s="13">
        <v>10</v>
      </c>
      <c r="L69" s="11" t="s">
        <v>214</v>
      </c>
      <c r="M69" s="11" t="s">
        <v>218</v>
      </c>
    </row>
    <row r="70" spans="1:13">
      <c r="A70" s="11">
        <f t="shared" si="1"/>
        <v>7007</v>
      </c>
      <c r="B70" s="11">
        <v>7</v>
      </c>
      <c r="C70" s="11">
        <f>COUNTIF($B$4:B70,B70)</f>
        <v>7</v>
      </c>
      <c r="D70" s="25" t="s">
        <v>205</v>
      </c>
      <c r="E70" s="11">
        <v>8</v>
      </c>
      <c r="G70" s="25">
        <v>5000</v>
      </c>
      <c r="H70" t="s">
        <v>228</v>
      </c>
      <c r="I70" s="11">
        <v>3</v>
      </c>
      <c r="J70" s="11">
        <v>0</v>
      </c>
      <c r="K70" s="13">
        <v>10</v>
      </c>
      <c r="L70" s="11" t="s">
        <v>214</v>
      </c>
      <c r="M70" s="11" t="s">
        <v>218</v>
      </c>
    </row>
    <row r="71" spans="1:13">
      <c r="A71" s="11">
        <f t="shared" si="1"/>
        <v>7008</v>
      </c>
      <c r="B71" s="11">
        <v>7</v>
      </c>
      <c r="C71" s="11">
        <f>COUNTIF($B$4:B71,B71)</f>
        <v>8</v>
      </c>
      <c r="D71" s="25" t="s">
        <v>205</v>
      </c>
      <c r="E71" s="11">
        <v>8</v>
      </c>
      <c r="G71" s="25">
        <v>7000</v>
      </c>
      <c r="H71" t="s">
        <v>228</v>
      </c>
      <c r="I71" s="11">
        <v>3</v>
      </c>
      <c r="J71" s="11">
        <v>0</v>
      </c>
      <c r="K71" s="13">
        <v>10</v>
      </c>
      <c r="L71" s="11" t="s">
        <v>214</v>
      </c>
      <c r="M71" s="11" t="s">
        <v>218</v>
      </c>
    </row>
    <row r="72" spans="1:13">
      <c r="A72" s="11">
        <f t="shared" si="1"/>
        <v>7009</v>
      </c>
      <c r="B72" s="11">
        <v>7</v>
      </c>
      <c r="C72" s="11">
        <f>COUNTIF($B$4:B72,B72)</f>
        <v>9</v>
      </c>
      <c r="D72" s="25" t="s">
        <v>205</v>
      </c>
      <c r="E72" s="11">
        <v>8</v>
      </c>
      <c r="G72" s="25">
        <v>10000</v>
      </c>
      <c r="H72" t="s">
        <v>228</v>
      </c>
      <c r="I72" s="11">
        <v>3</v>
      </c>
      <c r="J72" s="11">
        <v>0</v>
      </c>
      <c r="K72" s="13">
        <v>10</v>
      </c>
      <c r="L72" s="11" t="s">
        <v>214</v>
      </c>
      <c r="M72" s="11" t="s">
        <v>218</v>
      </c>
    </row>
    <row r="73" spans="1:13">
      <c r="A73" s="11">
        <f t="shared" si="1"/>
        <v>7010</v>
      </c>
      <c r="B73" s="11">
        <v>7</v>
      </c>
      <c r="C73" s="11">
        <f>COUNTIF($B$4:B73,B73)</f>
        <v>10</v>
      </c>
      <c r="D73" s="25" t="s">
        <v>205</v>
      </c>
      <c r="E73" s="11">
        <v>8</v>
      </c>
      <c r="G73" s="25">
        <v>20000</v>
      </c>
      <c r="H73" t="s">
        <v>228</v>
      </c>
      <c r="I73" s="11">
        <v>3</v>
      </c>
      <c r="J73" s="11">
        <v>0</v>
      </c>
      <c r="K73" s="13">
        <v>10</v>
      </c>
      <c r="L73" s="11" t="s">
        <v>214</v>
      </c>
      <c r="M73" s="11" t="s">
        <v>218</v>
      </c>
    </row>
    <row r="74" spans="1:13">
      <c r="A74" s="11">
        <f t="shared" si="1"/>
        <v>8001</v>
      </c>
      <c r="B74" s="11">
        <v>8</v>
      </c>
      <c r="C74" s="11">
        <f>COUNTIF($B$4:B74,B74)</f>
        <v>1</v>
      </c>
      <c r="D74" s="25" t="s">
        <v>206</v>
      </c>
      <c r="E74" s="11">
        <v>20</v>
      </c>
      <c r="G74" s="25">
        <v>10</v>
      </c>
      <c r="H74" t="s">
        <v>229</v>
      </c>
      <c r="I74" s="11">
        <v>3</v>
      </c>
      <c r="J74" s="11">
        <v>0</v>
      </c>
      <c r="K74" s="13">
        <v>10</v>
      </c>
      <c r="L74" s="26" t="s">
        <v>215</v>
      </c>
      <c r="M74" s="11" t="s">
        <v>219</v>
      </c>
    </row>
    <row r="75" spans="1:13">
      <c r="A75" s="11">
        <f t="shared" si="1"/>
        <v>8002</v>
      </c>
      <c r="B75" s="11">
        <v>8</v>
      </c>
      <c r="C75" s="11">
        <f>COUNTIF($B$4:B75,B75)</f>
        <v>2</v>
      </c>
      <c r="D75" s="25" t="s">
        <v>206</v>
      </c>
      <c r="E75" s="11">
        <v>20</v>
      </c>
      <c r="G75" s="25">
        <v>30</v>
      </c>
      <c r="H75" t="s">
        <v>229</v>
      </c>
      <c r="I75" s="11">
        <v>3</v>
      </c>
      <c r="J75" s="11">
        <v>0</v>
      </c>
      <c r="K75" s="13">
        <v>10</v>
      </c>
      <c r="L75" s="26" t="s">
        <v>215</v>
      </c>
      <c r="M75" s="11" t="s">
        <v>219</v>
      </c>
    </row>
    <row r="76" spans="1:13">
      <c r="A76" s="11">
        <f t="shared" si="1"/>
        <v>8003</v>
      </c>
      <c r="B76" s="11">
        <v>8</v>
      </c>
      <c r="C76" s="11">
        <f>COUNTIF($B$4:B76,B76)</f>
        <v>3</v>
      </c>
      <c r="D76" s="25" t="s">
        <v>206</v>
      </c>
      <c r="E76" s="11">
        <v>20</v>
      </c>
      <c r="G76" s="25">
        <v>50</v>
      </c>
      <c r="H76" t="s">
        <v>229</v>
      </c>
      <c r="I76" s="11">
        <v>3</v>
      </c>
      <c r="J76" s="11">
        <v>0</v>
      </c>
      <c r="K76" s="13">
        <v>10</v>
      </c>
      <c r="L76" s="26" t="s">
        <v>215</v>
      </c>
      <c r="M76" s="11" t="s">
        <v>219</v>
      </c>
    </row>
    <row r="77" spans="1:13">
      <c r="A77" s="11">
        <f t="shared" si="1"/>
        <v>8004</v>
      </c>
      <c r="B77" s="11">
        <v>8</v>
      </c>
      <c r="C77" s="11">
        <f>COUNTIF($B$4:B77,B77)</f>
        <v>4</v>
      </c>
      <c r="D77" s="25" t="s">
        <v>206</v>
      </c>
      <c r="E77" s="11">
        <v>20</v>
      </c>
      <c r="G77" s="25">
        <v>100</v>
      </c>
      <c r="H77" t="s">
        <v>229</v>
      </c>
      <c r="I77" s="11">
        <v>3</v>
      </c>
      <c r="J77" s="11">
        <v>0</v>
      </c>
      <c r="K77" s="13">
        <v>10</v>
      </c>
      <c r="L77" s="26" t="s">
        <v>215</v>
      </c>
      <c r="M77" s="11" t="s">
        <v>219</v>
      </c>
    </row>
    <row r="78" spans="1:13">
      <c r="A78" s="11">
        <f t="shared" si="1"/>
        <v>8005</v>
      </c>
      <c r="B78" s="11">
        <v>8</v>
      </c>
      <c r="C78" s="11">
        <f>COUNTIF($B$4:B78,B78)</f>
        <v>5</v>
      </c>
      <c r="D78" s="25" t="s">
        <v>206</v>
      </c>
      <c r="E78" s="11">
        <v>20</v>
      </c>
      <c r="G78" s="25">
        <v>200</v>
      </c>
      <c r="H78" t="s">
        <v>229</v>
      </c>
      <c r="I78" s="11">
        <v>3</v>
      </c>
      <c r="J78" s="11">
        <v>0</v>
      </c>
      <c r="K78" s="13">
        <v>10</v>
      </c>
      <c r="L78" s="26" t="s">
        <v>215</v>
      </c>
      <c r="M78" s="11" t="s">
        <v>219</v>
      </c>
    </row>
    <row r="79" spans="1:13">
      <c r="A79" s="11">
        <f t="shared" si="1"/>
        <v>8006</v>
      </c>
      <c r="B79" s="11">
        <v>8</v>
      </c>
      <c r="C79" s="11">
        <f>COUNTIF($B$4:B79,B79)</f>
        <v>6</v>
      </c>
      <c r="D79" s="25" t="s">
        <v>206</v>
      </c>
      <c r="E79" s="11">
        <v>20</v>
      </c>
      <c r="G79" s="25">
        <v>250</v>
      </c>
      <c r="H79" t="s">
        <v>229</v>
      </c>
      <c r="I79" s="11">
        <v>3</v>
      </c>
      <c r="J79" s="11">
        <v>0</v>
      </c>
      <c r="K79" s="13">
        <v>10</v>
      </c>
      <c r="L79" s="26" t="s">
        <v>215</v>
      </c>
      <c r="M79" s="11" t="s">
        <v>219</v>
      </c>
    </row>
    <row r="80" spans="1:13">
      <c r="A80" s="11">
        <f t="shared" si="1"/>
        <v>8007</v>
      </c>
      <c r="B80" s="11">
        <v>8</v>
      </c>
      <c r="C80" s="11">
        <f>COUNTIF($B$4:B80,B80)</f>
        <v>7</v>
      </c>
      <c r="D80" s="25" t="s">
        <v>206</v>
      </c>
      <c r="E80" s="11">
        <v>20</v>
      </c>
      <c r="G80" s="25">
        <v>300</v>
      </c>
      <c r="H80" t="s">
        <v>229</v>
      </c>
      <c r="I80" s="11">
        <v>3</v>
      </c>
      <c r="J80" s="11">
        <v>0</v>
      </c>
      <c r="K80" s="13">
        <v>10</v>
      </c>
      <c r="L80" s="26" t="s">
        <v>215</v>
      </c>
      <c r="M80" s="11" t="s">
        <v>219</v>
      </c>
    </row>
    <row r="81" spans="1:13">
      <c r="A81" s="11">
        <f t="shared" si="1"/>
        <v>8008</v>
      </c>
      <c r="B81" s="11">
        <v>8</v>
      </c>
      <c r="C81" s="11">
        <f>COUNTIF($B$4:B81,B81)</f>
        <v>8</v>
      </c>
      <c r="D81" s="25" t="s">
        <v>206</v>
      </c>
      <c r="E81" s="11">
        <v>20</v>
      </c>
      <c r="G81" s="25">
        <v>400</v>
      </c>
      <c r="H81" t="s">
        <v>229</v>
      </c>
      <c r="I81" s="11">
        <v>3</v>
      </c>
      <c r="J81" s="11">
        <v>0</v>
      </c>
      <c r="K81" s="13">
        <v>10</v>
      </c>
      <c r="L81" s="26" t="s">
        <v>215</v>
      </c>
      <c r="M81" s="11" t="s">
        <v>219</v>
      </c>
    </row>
    <row r="82" spans="1:13">
      <c r="A82" s="11">
        <f t="shared" si="1"/>
        <v>8009</v>
      </c>
      <c r="B82" s="11">
        <v>8</v>
      </c>
      <c r="C82" s="11">
        <f>COUNTIF($B$4:B82,B82)</f>
        <v>9</v>
      </c>
      <c r="D82" s="25" t="s">
        <v>206</v>
      </c>
      <c r="E82" s="11">
        <v>20</v>
      </c>
      <c r="G82" s="25">
        <v>500</v>
      </c>
      <c r="H82" t="s">
        <v>229</v>
      </c>
      <c r="I82" s="11">
        <v>3</v>
      </c>
      <c r="J82" s="11">
        <v>0</v>
      </c>
      <c r="K82" s="13">
        <v>10</v>
      </c>
      <c r="L82" s="26" t="s">
        <v>215</v>
      </c>
      <c r="M82" s="11" t="s">
        <v>219</v>
      </c>
    </row>
    <row r="83" spans="1:13">
      <c r="A83" s="11">
        <f t="shared" si="1"/>
        <v>8010</v>
      </c>
      <c r="B83" s="11">
        <v>8</v>
      </c>
      <c r="C83" s="11">
        <f>COUNTIF($B$4:B83,B83)</f>
        <v>10</v>
      </c>
      <c r="D83" s="25" t="s">
        <v>206</v>
      </c>
      <c r="E83" s="11">
        <v>20</v>
      </c>
      <c r="G83" s="25">
        <v>600</v>
      </c>
      <c r="H83" t="s">
        <v>229</v>
      </c>
      <c r="I83" s="11">
        <v>3</v>
      </c>
      <c r="J83" s="11">
        <v>0</v>
      </c>
      <c r="K83" s="13">
        <v>10</v>
      </c>
      <c r="L83" s="26" t="s">
        <v>215</v>
      </c>
      <c r="M83" s="11" t="s">
        <v>219</v>
      </c>
    </row>
    <row r="84" spans="1:13">
      <c r="A84" s="11">
        <f t="shared" si="1"/>
        <v>9001</v>
      </c>
      <c r="B84" s="11">
        <v>9</v>
      </c>
      <c r="C84" s="11">
        <f>COUNTIF($B$4:B84,B84)</f>
        <v>1</v>
      </c>
      <c r="D84" s="25" t="s">
        <v>207</v>
      </c>
      <c r="E84" s="11">
        <v>6</v>
      </c>
      <c r="G84" s="25">
        <v>3</v>
      </c>
      <c r="H84" t="s">
        <v>230</v>
      </c>
      <c r="I84" s="11">
        <v>3</v>
      </c>
      <c r="J84" s="11">
        <v>0</v>
      </c>
      <c r="K84" s="13">
        <v>10</v>
      </c>
      <c r="L84" s="11" t="s">
        <v>216</v>
      </c>
      <c r="M84" s="11" t="s">
        <v>220</v>
      </c>
    </row>
    <row r="85" spans="1:13">
      <c r="A85" s="11">
        <f t="shared" si="1"/>
        <v>9002</v>
      </c>
      <c r="B85" s="11">
        <v>9</v>
      </c>
      <c r="C85" s="11">
        <f>COUNTIF($B$4:B85,B85)</f>
        <v>2</v>
      </c>
      <c r="D85" s="25" t="s">
        <v>207</v>
      </c>
      <c r="E85" s="11">
        <v>6</v>
      </c>
      <c r="G85" s="25">
        <v>7</v>
      </c>
      <c r="H85" t="s">
        <v>230</v>
      </c>
      <c r="I85" s="11">
        <v>3</v>
      </c>
      <c r="J85" s="11">
        <v>0</v>
      </c>
      <c r="K85" s="13">
        <v>10</v>
      </c>
      <c r="L85" s="11" t="s">
        <v>216</v>
      </c>
      <c r="M85" s="11" t="s">
        <v>220</v>
      </c>
    </row>
    <row r="86" spans="1:13">
      <c r="A86" s="11">
        <f t="shared" si="1"/>
        <v>9003</v>
      </c>
      <c r="B86" s="11">
        <v>9</v>
      </c>
      <c r="C86" s="11">
        <f>COUNTIF($B$4:B86,B86)</f>
        <v>3</v>
      </c>
      <c r="D86" s="25" t="s">
        <v>207</v>
      </c>
      <c r="E86" s="11">
        <v>6</v>
      </c>
      <c r="G86" s="25">
        <v>10</v>
      </c>
      <c r="H86" t="s">
        <v>230</v>
      </c>
      <c r="I86" s="11">
        <v>3</v>
      </c>
      <c r="J86" s="11">
        <v>0</v>
      </c>
      <c r="K86" s="13">
        <v>10</v>
      </c>
      <c r="L86" s="11" t="s">
        <v>216</v>
      </c>
      <c r="M86" s="11" t="s">
        <v>220</v>
      </c>
    </row>
    <row r="87" spans="1:13">
      <c r="A87" s="11">
        <f t="shared" si="1"/>
        <v>9004</v>
      </c>
      <c r="B87" s="11">
        <v>9</v>
      </c>
      <c r="C87" s="11">
        <f>COUNTIF($B$4:B87,B87)</f>
        <v>4</v>
      </c>
      <c r="D87" s="25" t="s">
        <v>207</v>
      </c>
      <c r="E87" s="11">
        <v>6</v>
      </c>
      <c r="G87" s="25">
        <v>25</v>
      </c>
      <c r="H87" t="s">
        <v>230</v>
      </c>
      <c r="I87" s="11">
        <v>3</v>
      </c>
      <c r="J87" s="11">
        <v>0</v>
      </c>
      <c r="K87" s="13">
        <v>10</v>
      </c>
      <c r="L87" s="11" t="s">
        <v>216</v>
      </c>
      <c r="M87" s="11" t="s">
        <v>220</v>
      </c>
    </row>
    <row r="88" spans="1:13">
      <c r="A88" s="11">
        <f t="shared" si="1"/>
        <v>9005</v>
      </c>
      <c r="B88" s="11">
        <v>9</v>
      </c>
      <c r="C88" s="11">
        <f>COUNTIF($B$4:B88,B88)</f>
        <v>5</v>
      </c>
      <c r="D88" s="25" t="s">
        <v>207</v>
      </c>
      <c r="E88" s="11">
        <v>6</v>
      </c>
      <c r="G88" s="25">
        <v>50</v>
      </c>
      <c r="H88" t="s">
        <v>230</v>
      </c>
      <c r="I88" s="11">
        <v>3</v>
      </c>
      <c r="J88" s="11">
        <v>0</v>
      </c>
      <c r="K88" s="13">
        <v>10</v>
      </c>
      <c r="L88" s="11" t="s">
        <v>216</v>
      </c>
      <c r="M88" s="11" t="s">
        <v>220</v>
      </c>
    </row>
    <row r="89" spans="1:13">
      <c r="A89" s="11">
        <f t="shared" si="1"/>
        <v>9006</v>
      </c>
      <c r="B89" s="11">
        <v>9</v>
      </c>
      <c r="C89" s="11">
        <f>COUNTIF($B$4:B89,B89)</f>
        <v>6</v>
      </c>
      <c r="D89" s="25" t="s">
        <v>207</v>
      </c>
      <c r="E89" s="11">
        <v>6</v>
      </c>
      <c r="G89" s="25">
        <v>75</v>
      </c>
      <c r="H89" t="s">
        <v>230</v>
      </c>
      <c r="I89" s="11">
        <v>3</v>
      </c>
      <c r="J89" s="11">
        <v>0</v>
      </c>
      <c r="K89" s="13">
        <v>10</v>
      </c>
      <c r="L89" s="11" t="s">
        <v>216</v>
      </c>
      <c r="M89" s="11" t="s">
        <v>220</v>
      </c>
    </row>
    <row r="90" spans="1:13">
      <c r="A90" s="11">
        <f t="shared" si="1"/>
        <v>9007</v>
      </c>
      <c r="B90" s="11">
        <v>9</v>
      </c>
      <c r="C90" s="11">
        <f>COUNTIF($B$4:B90,B90)</f>
        <v>7</v>
      </c>
      <c r="D90" s="25" t="s">
        <v>207</v>
      </c>
      <c r="E90" s="11">
        <v>6</v>
      </c>
      <c r="G90" s="25">
        <v>100</v>
      </c>
      <c r="H90" t="s">
        <v>230</v>
      </c>
      <c r="I90" s="11">
        <v>3</v>
      </c>
      <c r="J90" s="11">
        <v>0</v>
      </c>
      <c r="K90" s="13">
        <v>10</v>
      </c>
      <c r="L90" s="11" t="s">
        <v>216</v>
      </c>
      <c r="M90" s="11" t="s">
        <v>220</v>
      </c>
    </row>
    <row r="91" spans="1:13">
      <c r="A91" s="11">
        <f t="shared" si="1"/>
        <v>9008</v>
      </c>
      <c r="B91" s="11">
        <v>9</v>
      </c>
      <c r="C91" s="11">
        <f>COUNTIF($B$4:B91,B91)</f>
        <v>8</v>
      </c>
      <c r="D91" s="25" t="s">
        <v>207</v>
      </c>
      <c r="E91" s="11">
        <v>6</v>
      </c>
      <c r="G91" s="25">
        <v>125</v>
      </c>
      <c r="H91" t="s">
        <v>230</v>
      </c>
      <c r="I91" s="11">
        <v>3</v>
      </c>
      <c r="J91" s="11">
        <v>0</v>
      </c>
      <c r="K91" s="13">
        <v>10</v>
      </c>
      <c r="L91" s="11" t="s">
        <v>216</v>
      </c>
      <c r="M91" s="11" t="s">
        <v>220</v>
      </c>
    </row>
    <row r="92" spans="1:13">
      <c r="A92" s="11">
        <f t="shared" si="1"/>
        <v>9009</v>
      </c>
      <c r="B92" s="11">
        <v>9</v>
      </c>
      <c r="C92" s="11">
        <f>COUNTIF($B$4:B92,B92)</f>
        <v>9</v>
      </c>
      <c r="D92" s="25" t="s">
        <v>207</v>
      </c>
      <c r="E92" s="11">
        <v>6</v>
      </c>
      <c r="G92" s="25">
        <v>150</v>
      </c>
      <c r="H92" t="s">
        <v>230</v>
      </c>
      <c r="I92" s="11">
        <v>3</v>
      </c>
      <c r="J92" s="11">
        <v>0</v>
      </c>
      <c r="K92" s="13">
        <v>10</v>
      </c>
      <c r="L92" s="11" t="s">
        <v>216</v>
      </c>
      <c r="M92" s="11" t="s">
        <v>220</v>
      </c>
    </row>
    <row r="93" spans="1:13" ht="16.5">
      <c r="A93" s="11">
        <f t="shared" si="1"/>
        <v>9010</v>
      </c>
      <c r="B93" s="11">
        <v>9</v>
      </c>
      <c r="C93" s="11">
        <f>COUNTIF($B$4:B93,B93)</f>
        <v>10</v>
      </c>
      <c r="D93" s="28" t="s">
        <v>312</v>
      </c>
      <c r="E93" s="11">
        <v>6</v>
      </c>
      <c r="G93" s="25">
        <v>200</v>
      </c>
      <c r="H93" t="s">
        <v>230</v>
      </c>
      <c r="I93" s="11">
        <v>3</v>
      </c>
      <c r="J93" s="11">
        <v>0</v>
      </c>
      <c r="K93" s="13">
        <v>10</v>
      </c>
      <c r="L93" s="11" t="s">
        <v>216</v>
      </c>
      <c r="M93" s="11" t="s">
        <v>220</v>
      </c>
    </row>
    <row r="94" spans="1:13" ht="16.5">
      <c r="A94" s="11">
        <v>10001</v>
      </c>
      <c r="B94" s="11">
        <v>10</v>
      </c>
      <c r="C94" s="11">
        <f>COUNTIF($B$4:B94,B94)</f>
        <v>1</v>
      </c>
      <c r="D94" s="29" t="s">
        <v>313</v>
      </c>
      <c r="E94" s="11">
        <v>1009</v>
      </c>
      <c r="G94" s="25">
        <v>2</v>
      </c>
      <c r="H94" s="24" t="s">
        <v>314</v>
      </c>
      <c r="I94" s="11">
        <v>3</v>
      </c>
      <c r="J94" s="11">
        <v>0</v>
      </c>
      <c r="K94" s="13">
        <v>10</v>
      </c>
      <c r="L94" s="26" t="s">
        <v>316</v>
      </c>
      <c r="M94" s="11" t="s">
        <v>315</v>
      </c>
    </row>
    <row r="95" spans="1:13" ht="16.5">
      <c r="A95" s="11">
        <v>10002</v>
      </c>
      <c r="B95" s="11">
        <v>10</v>
      </c>
      <c r="C95" s="11">
        <f>COUNTIF($B$4:B95,B95)</f>
        <v>2</v>
      </c>
      <c r="D95" s="29" t="s">
        <v>313</v>
      </c>
      <c r="E95" s="11">
        <v>1009</v>
      </c>
      <c r="G95" s="25">
        <v>3</v>
      </c>
      <c r="H95" s="24" t="s">
        <v>314</v>
      </c>
      <c r="I95" s="11">
        <v>3</v>
      </c>
      <c r="J95" s="11">
        <v>0</v>
      </c>
      <c r="K95" s="13">
        <v>10</v>
      </c>
      <c r="L95" s="26" t="s">
        <v>316</v>
      </c>
      <c r="M95" s="11" t="s">
        <v>315</v>
      </c>
    </row>
    <row r="96" spans="1:13" ht="16.5">
      <c r="A96" s="11">
        <v>10003</v>
      </c>
      <c r="B96" s="11">
        <v>10</v>
      </c>
      <c r="C96" s="11">
        <f>COUNTIF($B$4:B96,B96)</f>
        <v>3</v>
      </c>
      <c r="D96" s="29" t="s">
        <v>313</v>
      </c>
      <c r="E96" s="11">
        <v>1009</v>
      </c>
      <c r="G96" s="25">
        <v>5</v>
      </c>
      <c r="H96" s="24" t="s">
        <v>314</v>
      </c>
      <c r="I96" s="11">
        <v>3</v>
      </c>
      <c r="J96" s="11">
        <v>0</v>
      </c>
      <c r="K96" s="13">
        <v>10</v>
      </c>
      <c r="L96" s="26" t="s">
        <v>316</v>
      </c>
      <c r="M96" s="11" t="s">
        <v>315</v>
      </c>
    </row>
    <row r="97" spans="1:13" ht="16.5">
      <c r="A97" s="11">
        <v>10004</v>
      </c>
      <c r="B97" s="11">
        <v>10</v>
      </c>
      <c r="C97" s="11">
        <f>COUNTIF($B$4:B97,B97)</f>
        <v>4</v>
      </c>
      <c r="D97" s="29" t="s">
        <v>313</v>
      </c>
      <c r="E97" s="11">
        <v>1009</v>
      </c>
      <c r="G97" s="25">
        <v>10</v>
      </c>
      <c r="H97" s="24" t="s">
        <v>314</v>
      </c>
      <c r="I97" s="11">
        <v>3</v>
      </c>
      <c r="J97" s="11">
        <v>0</v>
      </c>
      <c r="K97" s="13">
        <v>10</v>
      </c>
      <c r="L97" s="26" t="s">
        <v>316</v>
      </c>
      <c r="M97" s="11" t="s">
        <v>315</v>
      </c>
    </row>
    <row r="98" spans="1:13" ht="16.5">
      <c r="A98" s="11">
        <v>10005</v>
      </c>
      <c r="B98" s="11">
        <v>10</v>
      </c>
      <c r="C98" s="11">
        <f>COUNTIF($B$4:B98,B98)</f>
        <v>5</v>
      </c>
      <c r="D98" s="29" t="s">
        <v>313</v>
      </c>
      <c r="E98" s="11">
        <v>1009</v>
      </c>
      <c r="G98" s="25">
        <v>15</v>
      </c>
      <c r="H98" s="24" t="s">
        <v>314</v>
      </c>
      <c r="I98" s="11">
        <v>3</v>
      </c>
      <c r="J98" s="11">
        <v>0</v>
      </c>
      <c r="K98" s="13">
        <v>10</v>
      </c>
      <c r="L98" s="26" t="s">
        <v>316</v>
      </c>
      <c r="M98" s="11" t="s">
        <v>315</v>
      </c>
    </row>
    <row r="99" spans="1:13" ht="16.5">
      <c r="A99" s="11">
        <v>10006</v>
      </c>
      <c r="B99" s="11">
        <v>10</v>
      </c>
      <c r="C99" s="11">
        <f>COUNTIF($B$4:B99,B99)</f>
        <v>6</v>
      </c>
      <c r="D99" s="29" t="s">
        <v>313</v>
      </c>
      <c r="E99" s="11">
        <v>1009</v>
      </c>
      <c r="G99" s="25">
        <v>20</v>
      </c>
      <c r="H99" s="24" t="s">
        <v>314</v>
      </c>
      <c r="I99" s="11">
        <v>3</v>
      </c>
      <c r="J99" s="11">
        <v>0</v>
      </c>
      <c r="K99" s="13">
        <v>10</v>
      </c>
      <c r="L99" s="26" t="s">
        <v>316</v>
      </c>
      <c r="M99" s="11" t="s">
        <v>315</v>
      </c>
    </row>
    <row r="100" spans="1:13" ht="16.5">
      <c r="A100" s="11">
        <v>10007</v>
      </c>
      <c r="B100" s="11">
        <v>10</v>
      </c>
      <c r="C100" s="11">
        <f>COUNTIF($B$4:B100,B100)</f>
        <v>7</v>
      </c>
      <c r="D100" s="29" t="s">
        <v>313</v>
      </c>
      <c r="E100" s="11">
        <v>1009</v>
      </c>
      <c r="G100" s="25">
        <v>25</v>
      </c>
      <c r="H100" s="24" t="s">
        <v>314</v>
      </c>
      <c r="I100" s="11">
        <v>3</v>
      </c>
      <c r="J100" s="11">
        <v>0</v>
      </c>
      <c r="K100" s="13">
        <v>10</v>
      </c>
      <c r="L100" s="26" t="s">
        <v>316</v>
      </c>
      <c r="M100" s="11" t="s">
        <v>315</v>
      </c>
    </row>
    <row r="101" spans="1:13" ht="16.5">
      <c r="A101" s="11">
        <v>10008</v>
      </c>
      <c r="B101" s="11">
        <v>10</v>
      </c>
      <c r="C101" s="11">
        <f>COUNTIF($B$4:B101,B101)</f>
        <v>8</v>
      </c>
      <c r="D101" s="29" t="s">
        <v>313</v>
      </c>
      <c r="E101" s="11">
        <v>1009</v>
      </c>
      <c r="G101" s="25">
        <v>30</v>
      </c>
      <c r="H101" s="24" t="s">
        <v>314</v>
      </c>
      <c r="I101" s="11">
        <v>3</v>
      </c>
      <c r="J101" s="11">
        <v>0</v>
      </c>
      <c r="K101" s="13">
        <v>10</v>
      </c>
      <c r="L101" s="26" t="s">
        <v>316</v>
      </c>
      <c r="M101" s="11" t="s">
        <v>315</v>
      </c>
    </row>
    <row r="102" spans="1:13" ht="16.5">
      <c r="A102" s="11">
        <v>10009</v>
      </c>
      <c r="B102" s="11">
        <v>10</v>
      </c>
      <c r="C102" s="11">
        <f>COUNTIF($B$4:B102,B102)</f>
        <v>9</v>
      </c>
      <c r="D102" s="29" t="s">
        <v>313</v>
      </c>
      <c r="E102" s="11">
        <v>1009</v>
      </c>
      <c r="G102" s="25">
        <v>35</v>
      </c>
      <c r="H102" s="24" t="s">
        <v>314</v>
      </c>
      <c r="I102" s="11">
        <v>3</v>
      </c>
      <c r="J102" s="11">
        <v>0</v>
      </c>
      <c r="K102" s="13">
        <v>10</v>
      </c>
      <c r="L102" s="26" t="s">
        <v>316</v>
      </c>
      <c r="M102" s="11" t="s">
        <v>315</v>
      </c>
    </row>
    <row r="103" spans="1:13" ht="16.5">
      <c r="A103" s="11">
        <v>10010</v>
      </c>
      <c r="B103" s="11">
        <v>10</v>
      </c>
      <c r="C103" s="11">
        <f>COUNTIF($B$4:B103,B103)</f>
        <v>10</v>
      </c>
      <c r="D103" s="29" t="s">
        <v>313</v>
      </c>
      <c r="E103" s="11">
        <v>1009</v>
      </c>
      <c r="G103" s="25">
        <v>40</v>
      </c>
      <c r="H103" s="24" t="s">
        <v>314</v>
      </c>
      <c r="I103" s="11">
        <v>3</v>
      </c>
      <c r="J103" s="11">
        <v>0</v>
      </c>
      <c r="K103" s="13">
        <v>10</v>
      </c>
      <c r="L103" s="26" t="s">
        <v>316</v>
      </c>
      <c r="M103" s="11" t="s">
        <v>315</v>
      </c>
    </row>
    <row r="104" spans="1:13" ht="16.5">
      <c r="A104" s="11">
        <v>10011</v>
      </c>
      <c r="B104" s="11">
        <v>10</v>
      </c>
      <c r="C104" s="11">
        <f>COUNTIF($B$4:B104,B104)</f>
        <v>11</v>
      </c>
      <c r="D104" s="29" t="s">
        <v>313</v>
      </c>
      <c r="E104" s="11">
        <v>1009</v>
      </c>
      <c r="G104" s="25">
        <v>45</v>
      </c>
      <c r="H104" s="24" t="s">
        <v>314</v>
      </c>
      <c r="I104" s="11">
        <v>3</v>
      </c>
      <c r="J104" s="11">
        <v>0</v>
      </c>
      <c r="K104" s="13">
        <v>10</v>
      </c>
      <c r="L104" s="26" t="s">
        <v>316</v>
      </c>
      <c r="M104" s="11" t="s">
        <v>315</v>
      </c>
    </row>
    <row r="105" spans="1:13" ht="16.5">
      <c r="A105" s="11">
        <v>10012</v>
      </c>
      <c r="B105" s="11">
        <v>10</v>
      </c>
      <c r="C105" s="11">
        <f>COUNTIF($B$4:B105,B105)</f>
        <v>12</v>
      </c>
      <c r="D105" s="29" t="s">
        <v>313</v>
      </c>
      <c r="E105" s="11">
        <v>1009</v>
      </c>
      <c r="G105" s="25">
        <v>50</v>
      </c>
      <c r="H105" s="24" t="s">
        <v>314</v>
      </c>
      <c r="I105" s="11">
        <v>3</v>
      </c>
      <c r="J105" s="11">
        <v>0</v>
      </c>
      <c r="K105" s="13">
        <v>10</v>
      </c>
      <c r="L105" s="26" t="s">
        <v>316</v>
      </c>
      <c r="M105" s="11" t="s">
        <v>315</v>
      </c>
    </row>
  </sheetData>
  <phoneticPr fontId="1" type="noConversion"/>
  <conditionalFormatting sqref="A1:A1048576">
    <cfRule type="duplicateValues" dxfId="10" priority="13"/>
  </conditionalFormatting>
  <conditionalFormatting sqref="A3:M3 H4:H23 L4:M24 G4:G43 M25:M32 L25:L43">
    <cfRule type="containsText" dxfId="9" priority="15" operator="containsText" text="all">
      <formula>NOT(ISERROR(SEARCH("all",A3)))</formula>
    </cfRule>
    <cfRule type="containsText" dxfId="8" priority="16" operator="containsText" text="nodata">
      <formula>NOT(ISERROR(SEARCH("nodata",A3)))</formula>
    </cfRule>
  </conditionalFormatting>
  <conditionalFormatting sqref="K4:K105">
    <cfRule type="expression" dxfId="7" priority="14">
      <formula>MOD($G4,2)=1</formula>
    </cfRule>
  </conditionalFormatting>
  <hyperlinks>
    <hyperlink ref="L74" r:id="rId1" xr:uid="{AF1945FB-C0E0-4978-B24C-6323CB02BA51}"/>
    <hyperlink ref="L75:L83" r:id="rId2" display="UI_Re_icon@a3" xr:uid="{D12834DB-2FFF-48A8-BFE2-802B4B4646A6}"/>
  </hyperlinks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22F9-5EA0-4932-A506-5C90D5D4A429}">
  <dimension ref="A1:H96"/>
  <sheetViews>
    <sheetView workbookViewId="0">
      <selection activeCell="C29" sqref="C29"/>
    </sheetView>
  </sheetViews>
  <sheetFormatPr defaultRowHeight="15"/>
  <cols>
    <col min="1" max="1" width="10.85546875" customWidth="1"/>
    <col min="2" max="2" width="22.28515625" style="20" customWidth="1"/>
    <col min="3" max="3" width="24.85546875" customWidth="1"/>
    <col min="4" max="4" width="24.28515625" style="11" customWidth="1"/>
    <col min="5" max="5" width="13.5703125" style="11" bestFit="1" customWidth="1"/>
    <col min="6" max="6" width="11.85546875" style="11" customWidth="1"/>
    <col min="7" max="7" width="12.42578125" bestFit="1" customWidth="1"/>
    <col min="8" max="8" width="10.85546875" customWidth="1"/>
  </cols>
  <sheetData>
    <row r="1" spans="1:8">
      <c r="A1" s="2" t="s">
        <v>39</v>
      </c>
      <c r="B1" s="15" t="s">
        <v>24</v>
      </c>
      <c r="C1" s="2" t="s">
        <v>40</v>
      </c>
      <c r="D1" s="2" t="s">
        <v>32</v>
      </c>
      <c r="E1" s="2" t="s">
        <v>29</v>
      </c>
      <c r="F1" s="2" t="s">
        <v>41</v>
      </c>
      <c r="G1" s="2" t="s">
        <v>31</v>
      </c>
      <c r="H1" s="2" t="s">
        <v>42</v>
      </c>
    </row>
    <row r="2" spans="1:8">
      <c r="A2" s="1" t="s">
        <v>34</v>
      </c>
      <c r="B2" s="16" t="s">
        <v>35</v>
      </c>
      <c r="C2" s="1" t="s">
        <v>35</v>
      </c>
      <c r="D2" s="2" t="s">
        <v>35</v>
      </c>
      <c r="E2" s="2" t="s">
        <v>34</v>
      </c>
      <c r="F2" s="2" t="s">
        <v>34</v>
      </c>
      <c r="G2" s="2" t="s">
        <v>34</v>
      </c>
      <c r="H2" s="1" t="s">
        <v>34</v>
      </c>
    </row>
    <row r="3" spans="1:8">
      <c r="A3" s="1" t="s">
        <v>36</v>
      </c>
      <c r="B3" s="16" t="s">
        <v>44</v>
      </c>
      <c r="C3" s="4" t="s">
        <v>43</v>
      </c>
      <c r="D3" s="4" t="s">
        <v>43</v>
      </c>
      <c r="E3" s="4" t="s">
        <v>43</v>
      </c>
      <c r="F3" s="11" t="s">
        <v>43</v>
      </c>
      <c r="G3" s="11" t="s">
        <v>43</v>
      </c>
      <c r="H3" s="1" t="s">
        <v>38</v>
      </c>
    </row>
    <row r="4" spans="1:8">
      <c r="A4" s="17">
        <v>2011001</v>
      </c>
      <c r="B4" s="18" t="s">
        <v>45</v>
      </c>
      <c r="C4" t="s">
        <v>57</v>
      </c>
      <c r="D4" t="s">
        <v>77</v>
      </c>
      <c r="E4" s="19">
        <v>3</v>
      </c>
      <c r="F4" s="19">
        <v>0</v>
      </c>
      <c r="G4" s="19">
        <v>50</v>
      </c>
      <c r="H4" s="19">
        <v>1</v>
      </c>
    </row>
    <row r="5" spans="1:8">
      <c r="A5" s="17">
        <v>2011002</v>
      </c>
      <c r="B5" s="18" t="s">
        <v>186</v>
      </c>
      <c r="C5" t="s">
        <v>58</v>
      </c>
      <c r="D5" t="s">
        <v>78</v>
      </c>
      <c r="E5" s="19">
        <v>3</v>
      </c>
      <c r="F5" s="19">
        <v>0</v>
      </c>
      <c r="G5" s="19">
        <v>50</v>
      </c>
      <c r="H5" s="19">
        <v>2</v>
      </c>
    </row>
    <row r="6" spans="1:8">
      <c r="A6" s="17">
        <v>2011003</v>
      </c>
      <c r="B6" s="18" t="s">
        <v>55</v>
      </c>
      <c r="C6" t="s">
        <v>59</v>
      </c>
      <c r="D6" t="s">
        <v>79</v>
      </c>
      <c r="E6" s="19">
        <v>3</v>
      </c>
      <c r="F6" s="19">
        <v>0</v>
      </c>
      <c r="G6" s="19">
        <v>50</v>
      </c>
      <c r="H6" s="19">
        <v>3</v>
      </c>
    </row>
    <row r="7" spans="1:8">
      <c r="A7" s="17">
        <v>2011004</v>
      </c>
      <c r="B7" s="18" t="s">
        <v>187</v>
      </c>
      <c r="C7" t="s">
        <v>60</v>
      </c>
      <c r="D7" t="s">
        <v>80</v>
      </c>
      <c r="E7" s="19">
        <v>3</v>
      </c>
      <c r="F7" s="19">
        <v>0</v>
      </c>
      <c r="G7" s="19">
        <v>50</v>
      </c>
      <c r="H7" s="19">
        <v>4</v>
      </c>
    </row>
    <row r="8" spans="1:8">
      <c r="A8" s="17">
        <v>2011005</v>
      </c>
      <c r="B8" s="18" t="s">
        <v>53</v>
      </c>
      <c r="C8" t="s">
        <v>61</v>
      </c>
      <c r="D8" t="s">
        <v>81</v>
      </c>
      <c r="E8" s="19">
        <v>3</v>
      </c>
      <c r="F8" s="19">
        <v>0</v>
      </c>
      <c r="G8" s="19">
        <v>50</v>
      </c>
      <c r="H8" s="19">
        <v>5</v>
      </c>
    </row>
    <row r="9" spans="1:8">
      <c r="A9" s="17">
        <v>2011006</v>
      </c>
      <c r="B9" s="18" t="s">
        <v>188</v>
      </c>
      <c r="C9" t="s">
        <v>62</v>
      </c>
      <c r="D9" t="s">
        <v>82</v>
      </c>
      <c r="E9" s="19">
        <v>3</v>
      </c>
      <c r="F9" s="19">
        <v>0</v>
      </c>
      <c r="G9" s="19">
        <v>50</v>
      </c>
      <c r="H9" s="19">
        <v>6</v>
      </c>
    </row>
    <row r="10" spans="1:8">
      <c r="A10" s="17">
        <v>2011007</v>
      </c>
      <c r="B10" s="18" t="s">
        <v>54</v>
      </c>
      <c r="C10" t="s">
        <v>63</v>
      </c>
      <c r="D10" t="s">
        <v>83</v>
      </c>
      <c r="E10" s="19">
        <v>3</v>
      </c>
      <c r="F10" s="19">
        <v>0</v>
      </c>
      <c r="G10" s="19">
        <v>50</v>
      </c>
      <c r="H10" s="19">
        <v>7</v>
      </c>
    </row>
    <row r="11" spans="1:8">
      <c r="A11">
        <v>2011008</v>
      </c>
      <c r="B11" s="20" t="s">
        <v>189</v>
      </c>
      <c r="C11" t="s">
        <v>64</v>
      </c>
      <c r="D11" t="s">
        <v>84</v>
      </c>
      <c r="E11" s="19">
        <v>3</v>
      </c>
      <c r="F11" s="19">
        <v>0</v>
      </c>
      <c r="G11" s="19">
        <v>50</v>
      </c>
      <c r="H11" s="19">
        <v>8</v>
      </c>
    </row>
    <row r="12" spans="1:8">
      <c r="A12">
        <v>2011009</v>
      </c>
      <c r="B12" s="20" t="s">
        <v>56</v>
      </c>
      <c r="C12" t="s">
        <v>65</v>
      </c>
      <c r="D12" t="s">
        <v>85</v>
      </c>
      <c r="E12" s="19">
        <v>3</v>
      </c>
      <c r="F12" s="19">
        <v>0</v>
      </c>
      <c r="G12" s="19">
        <v>50</v>
      </c>
      <c r="H12" s="19">
        <v>9</v>
      </c>
    </row>
    <row r="13" spans="1:8">
      <c r="A13">
        <v>2011010</v>
      </c>
      <c r="B13" s="20" t="s">
        <v>190</v>
      </c>
      <c r="C13" t="s">
        <v>66</v>
      </c>
      <c r="D13" t="s">
        <v>86</v>
      </c>
      <c r="E13" s="19">
        <v>3</v>
      </c>
      <c r="F13" s="19">
        <v>0</v>
      </c>
      <c r="G13" s="19">
        <v>50</v>
      </c>
      <c r="H13" s="19">
        <v>10</v>
      </c>
    </row>
    <row r="14" spans="1:8">
      <c r="A14">
        <v>2011011</v>
      </c>
      <c r="B14" s="20" t="s">
        <v>191</v>
      </c>
      <c r="C14" t="s">
        <v>67</v>
      </c>
      <c r="D14" t="s">
        <v>87</v>
      </c>
      <c r="E14" s="19">
        <v>3</v>
      </c>
      <c r="F14" s="19">
        <v>0</v>
      </c>
      <c r="G14" s="19">
        <v>50</v>
      </c>
      <c r="H14" s="19">
        <v>11</v>
      </c>
    </row>
    <row r="15" spans="1:8">
      <c r="A15">
        <v>2011012</v>
      </c>
      <c r="B15" s="20" t="s">
        <v>192</v>
      </c>
      <c r="C15" t="s">
        <v>68</v>
      </c>
      <c r="D15" t="s">
        <v>88</v>
      </c>
      <c r="E15" s="19">
        <v>3</v>
      </c>
      <c r="F15" s="19">
        <v>0</v>
      </c>
      <c r="G15" s="19">
        <v>50</v>
      </c>
      <c r="H15" s="19">
        <v>12</v>
      </c>
    </row>
    <row r="16" spans="1:8">
      <c r="A16">
        <v>2011013</v>
      </c>
      <c r="B16" s="20" t="s">
        <v>193</v>
      </c>
      <c r="C16" t="s">
        <v>69</v>
      </c>
      <c r="D16" t="s">
        <v>89</v>
      </c>
      <c r="E16" s="19">
        <v>3</v>
      </c>
      <c r="F16" s="19">
        <v>0</v>
      </c>
      <c r="G16" s="19">
        <v>50</v>
      </c>
      <c r="H16" s="19">
        <v>13</v>
      </c>
    </row>
    <row r="17" spans="1:8">
      <c r="A17">
        <v>2011014</v>
      </c>
      <c r="B17" s="20" t="s">
        <v>194</v>
      </c>
      <c r="C17" t="s">
        <v>70</v>
      </c>
      <c r="D17" t="s">
        <v>90</v>
      </c>
      <c r="E17" s="19">
        <v>3</v>
      </c>
      <c r="F17" s="19">
        <v>0</v>
      </c>
      <c r="G17" s="19">
        <v>50</v>
      </c>
      <c r="H17" s="19">
        <v>14</v>
      </c>
    </row>
    <row r="18" spans="1:8">
      <c r="A18">
        <v>2011015</v>
      </c>
      <c r="B18" s="20" t="s">
        <v>195</v>
      </c>
      <c r="C18" t="s">
        <v>71</v>
      </c>
      <c r="D18" t="s">
        <v>91</v>
      </c>
      <c r="E18" s="19">
        <v>3</v>
      </c>
      <c r="F18" s="19">
        <v>0</v>
      </c>
      <c r="G18" s="19">
        <v>50</v>
      </c>
      <c r="H18" s="19">
        <v>15</v>
      </c>
    </row>
    <row r="19" spans="1:8">
      <c r="A19">
        <v>2011016</v>
      </c>
      <c r="B19" s="20" t="s">
        <v>196</v>
      </c>
      <c r="C19" t="s">
        <v>72</v>
      </c>
      <c r="D19" t="s">
        <v>92</v>
      </c>
      <c r="E19" s="19">
        <v>3</v>
      </c>
      <c r="F19" s="19">
        <v>0</v>
      </c>
      <c r="G19" s="19">
        <v>50</v>
      </c>
      <c r="H19" s="19">
        <v>16</v>
      </c>
    </row>
    <row r="20" spans="1:8">
      <c r="A20">
        <v>2011017</v>
      </c>
      <c r="B20" s="20" t="s">
        <v>197</v>
      </c>
      <c r="C20" t="s">
        <v>73</v>
      </c>
      <c r="D20" t="s">
        <v>93</v>
      </c>
      <c r="E20" s="19">
        <v>3</v>
      </c>
      <c r="F20" s="19">
        <v>0</v>
      </c>
      <c r="G20" s="19">
        <v>50</v>
      </c>
      <c r="H20" s="19">
        <v>17</v>
      </c>
    </row>
    <row r="21" spans="1:8">
      <c r="A21">
        <v>2011018</v>
      </c>
      <c r="B21" s="20" t="s">
        <v>198</v>
      </c>
      <c r="C21" t="s">
        <v>74</v>
      </c>
      <c r="D21" t="s">
        <v>94</v>
      </c>
      <c r="E21" s="19">
        <v>3</v>
      </c>
      <c r="F21" s="19">
        <v>0</v>
      </c>
      <c r="G21" s="19">
        <v>50</v>
      </c>
      <c r="H21" s="19">
        <v>18</v>
      </c>
    </row>
    <row r="22" spans="1:8">
      <c r="A22">
        <v>2011019</v>
      </c>
      <c r="B22" s="20" t="s">
        <v>199</v>
      </c>
      <c r="C22" t="s">
        <v>75</v>
      </c>
      <c r="D22" t="s">
        <v>95</v>
      </c>
      <c r="E22" s="19">
        <v>3</v>
      </c>
      <c r="F22" s="19">
        <v>0</v>
      </c>
      <c r="G22" s="19">
        <v>50</v>
      </c>
      <c r="H22" s="19">
        <v>19</v>
      </c>
    </row>
    <row r="23" spans="1:8">
      <c r="A23">
        <v>2011020</v>
      </c>
      <c r="B23" s="20" t="s">
        <v>200</v>
      </c>
      <c r="C23" t="s">
        <v>76</v>
      </c>
      <c r="D23" t="s">
        <v>96</v>
      </c>
      <c r="E23" s="19">
        <v>3</v>
      </c>
      <c r="F23" s="19">
        <v>0</v>
      </c>
      <c r="G23" s="19">
        <v>50</v>
      </c>
      <c r="H23" s="19">
        <v>20</v>
      </c>
    </row>
    <row r="24" spans="1:8">
      <c r="A24">
        <v>1</v>
      </c>
      <c r="B24" s="20" t="s">
        <v>275</v>
      </c>
      <c r="C24" t="s">
        <v>291</v>
      </c>
      <c r="D24" s="24" t="s">
        <v>409</v>
      </c>
      <c r="E24" s="19">
        <v>3</v>
      </c>
      <c r="F24" s="19">
        <v>0</v>
      </c>
      <c r="G24" s="19">
        <v>50</v>
      </c>
      <c r="H24" s="19">
        <v>21</v>
      </c>
    </row>
    <row r="25" spans="1:8">
      <c r="A25">
        <v>2</v>
      </c>
      <c r="B25" t="s">
        <v>276</v>
      </c>
      <c r="C25" t="s">
        <v>292</v>
      </c>
      <c r="D25" s="24" t="s">
        <v>410</v>
      </c>
      <c r="E25" s="19">
        <v>3</v>
      </c>
      <c r="F25" s="19">
        <v>0</v>
      </c>
      <c r="G25" s="19">
        <v>50</v>
      </c>
      <c r="H25" s="19">
        <v>22</v>
      </c>
    </row>
    <row r="26" spans="1:8">
      <c r="A26">
        <v>3</v>
      </c>
      <c r="B26" t="s">
        <v>277</v>
      </c>
      <c r="C26" t="s">
        <v>293</v>
      </c>
      <c r="D26" s="24" t="s">
        <v>411</v>
      </c>
      <c r="E26" s="19">
        <v>3</v>
      </c>
      <c r="F26" s="19">
        <v>0</v>
      </c>
      <c r="G26" s="19">
        <v>50</v>
      </c>
      <c r="H26" s="19">
        <v>23</v>
      </c>
    </row>
    <row r="27" spans="1:8">
      <c r="A27">
        <v>4</v>
      </c>
      <c r="B27" t="s">
        <v>278</v>
      </c>
      <c r="C27" t="s">
        <v>294</v>
      </c>
      <c r="D27" s="24" t="s">
        <v>412</v>
      </c>
      <c r="E27" s="19">
        <v>3</v>
      </c>
      <c r="F27" s="19">
        <v>0</v>
      </c>
      <c r="G27" s="19">
        <v>50</v>
      </c>
      <c r="H27" s="19">
        <v>24</v>
      </c>
    </row>
    <row r="28" spans="1:8">
      <c r="A28">
        <v>5</v>
      </c>
      <c r="B28" t="s">
        <v>279</v>
      </c>
      <c r="C28" t="s">
        <v>295</v>
      </c>
      <c r="D28" s="24" t="s">
        <v>413</v>
      </c>
      <c r="E28" s="19">
        <v>3</v>
      </c>
      <c r="F28" s="19">
        <v>0</v>
      </c>
      <c r="G28" s="19">
        <v>50</v>
      </c>
      <c r="H28" s="19">
        <v>25</v>
      </c>
    </row>
    <row r="29" spans="1:8">
      <c r="A29">
        <v>6</v>
      </c>
      <c r="B29" t="s">
        <v>280</v>
      </c>
      <c r="C29" t="s">
        <v>296</v>
      </c>
      <c r="D29" s="24" t="s">
        <v>414</v>
      </c>
      <c r="E29" s="19">
        <v>3</v>
      </c>
      <c r="F29" s="19">
        <v>0</v>
      </c>
      <c r="G29" s="19">
        <v>50</v>
      </c>
      <c r="H29" s="19">
        <v>26</v>
      </c>
    </row>
    <row r="30" spans="1:8">
      <c r="A30">
        <v>7</v>
      </c>
      <c r="B30" t="s">
        <v>281</v>
      </c>
      <c r="C30" t="s">
        <v>297</v>
      </c>
      <c r="D30" s="24" t="s">
        <v>415</v>
      </c>
      <c r="E30" s="19">
        <v>3</v>
      </c>
      <c r="F30" s="19">
        <v>0</v>
      </c>
      <c r="G30" s="19">
        <v>50</v>
      </c>
      <c r="H30" s="19">
        <v>27</v>
      </c>
    </row>
    <row r="31" spans="1:8">
      <c r="A31">
        <v>8</v>
      </c>
      <c r="B31" t="s">
        <v>282</v>
      </c>
      <c r="C31" t="s">
        <v>298</v>
      </c>
      <c r="D31" s="24" t="s">
        <v>416</v>
      </c>
      <c r="E31" s="19">
        <v>3</v>
      </c>
      <c r="F31" s="19">
        <v>0</v>
      </c>
      <c r="G31" s="19">
        <v>50</v>
      </c>
      <c r="H31" s="19">
        <v>28</v>
      </c>
    </row>
    <row r="32" spans="1:8">
      <c r="A32">
        <v>9</v>
      </c>
      <c r="B32" t="s">
        <v>283</v>
      </c>
      <c r="C32" t="s">
        <v>299</v>
      </c>
      <c r="D32" s="24" t="s">
        <v>417</v>
      </c>
      <c r="E32" s="19">
        <v>3</v>
      </c>
      <c r="F32" s="19">
        <v>0</v>
      </c>
      <c r="G32" s="19">
        <v>50</v>
      </c>
      <c r="H32" s="19">
        <v>29</v>
      </c>
    </row>
    <row r="33" spans="1:8">
      <c r="A33">
        <v>10</v>
      </c>
      <c r="B33" t="s">
        <v>284</v>
      </c>
      <c r="C33" t="s">
        <v>300</v>
      </c>
      <c r="D33" s="24" t="s">
        <v>418</v>
      </c>
      <c r="E33" s="19">
        <v>3</v>
      </c>
      <c r="F33" s="19">
        <v>0</v>
      </c>
      <c r="G33" s="19">
        <v>50</v>
      </c>
      <c r="H33" s="19">
        <v>30</v>
      </c>
    </row>
    <row r="34" spans="1:8">
      <c r="A34">
        <v>11</v>
      </c>
      <c r="B34" t="s">
        <v>285</v>
      </c>
      <c r="C34" t="s">
        <v>301</v>
      </c>
      <c r="D34" s="24" t="s">
        <v>419</v>
      </c>
      <c r="E34" s="19">
        <v>3</v>
      </c>
      <c r="F34" s="19">
        <v>0</v>
      </c>
      <c r="G34" s="19">
        <v>50</v>
      </c>
      <c r="H34" s="19">
        <v>31</v>
      </c>
    </row>
    <row r="35" spans="1:8">
      <c r="A35">
        <v>12</v>
      </c>
      <c r="B35" t="s">
        <v>286</v>
      </c>
      <c r="C35" t="s">
        <v>302</v>
      </c>
      <c r="D35" s="24" t="s">
        <v>420</v>
      </c>
      <c r="E35" s="19">
        <v>3</v>
      </c>
      <c r="F35" s="19">
        <v>0</v>
      </c>
      <c r="G35" s="19">
        <v>50</v>
      </c>
      <c r="H35" s="19">
        <v>32</v>
      </c>
    </row>
    <row r="36" spans="1:8">
      <c r="A36">
        <v>13</v>
      </c>
      <c r="B36" t="s">
        <v>287</v>
      </c>
      <c r="C36" t="s">
        <v>303</v>
      </c>
      <c r="D36" s="24" t="s">
        <v>421</v>
      </c>
      <c r="E36" s="19">
        <v>3</v>
      </c>
      <c r="F36" s="19">
        <v>0</v>
      </c>
      <c r="G36" s="19">
        <v>50</v>
      </c>
      <c r="H36" s="19">
        <v>33</v>
      </c>
    </row>
    <row r="37" spans="1:8">
      <c r="A37">
        <v>14</v>
      </c>
      <c r="B37" t="s">
        <v>288</v>
      </c>
      <c r="C37" t="s">
        <v>304</v>
      </c>
      <c r="D37" s="24" t="s">
        <v>422</v>
      </c>
      <c r="E37" s="19">
        <v>3</v>
      </c>
      <c r="F37" s="19">
        <v>0</v>
      </c>
      <c r="G37" s="19">
        <v>50</v>
      </c>
      <c r="H37" s="19">
        <v>34</v>
      </c>
    </row>
    <row r="38" spans="1:8">
      <c r="A38">
        <v>15</v>
      </c>
      <c r="B38" t="s">
        <v>289</v>
      </c>
      <c r="C38" t="s">
        <v>305</v>
      </c>
      <c r="D38" s="24" t="s">
        <v>423</v>
      </c>
      <c r="E38" s="19">
        <v>3</v>
      </c>
      <c r="F38" s="19">
        <v>0</v>
      </c>
      <c r="G38" s="19">
        <v>50</v>
      </c>
      <c r="H38" s="19">
        <v>35</v>
      </c>
    </row>
    <row r="39" spans="1:8">
      <c r="A39">
        <v>16</v>
      </c>
      <c r="B39" t="s">
        <v>290</v>
      </c>
      <c r="C39" t="s">
        <v>306</v>
      </c>
      <c r="D39" s="24" t="s">
        <v>424</v>
      </c>
      <c r="E39" s="19">
        <v>3</v>
      </c>
      <c r="F39" s="19">
        <v>0</v>
      </c>
      <c r="G39" s="19">
        <v>50</v>
      </c>
      <c r="H39" s="19">
        <v>36</v>
      </c>
    </row>
    <row r="40" spans="1:8">
      <c r="B40"/>
      <c r="D40"/>
    </row>
    <row r="41" spans="1:8">
      <c r="B41"/>
      <c r="D41"/>
    </row>
    <row r="42" spans="1:8">
      <c r="B42"/>
      <c r="D42"/>
    </row>
    <row r="43" spans="1:8">
      <c r="B43"/>
      <c r="D43"/>
    </row>
    <row r="44" spans="1:8">
      <c r="B44"/>
      <c r="D44"/>
      <c r="E44"/>
      <c r="F44"/>
    </row>
    <row r="45" spans="1:8">
      <c r="B45"/>
      <c r="D45"/>
      <c r="E45"/>
      <c r="F45"/>
    </row>
    <row r="46" spans="1:8">
      <c r="B46"/>
      <c r="D46"/>
      <c r="E46"/>
      <c r="F46"/>
    </row>
    <row r="47" spans="1:8">
      <c r="B47"/>
      <c r="D47"/>
      <c r="E47"/>
      <c r="F47"/>
    </row>
    <row r="48" spans="1:8">
      <c r="B48"/>
      <c r="D48"/>
      <c r="E48"/>
      <c r="F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</sheetData>
  <phoneticPr fontId="1" type="noConversion"/>
  <conditionalFormatting sqref="A3:H3">
    <cfRule type="containsText" dxfId="6" priority="3" operator="containsText" text="all">
      <formula>NOT(ISERROR(SEARCH("all",A3)))</formula>
    </cfRule>
    <cfRule type="containsText" dxfId="5" priority="4" operator="containsText" text="nodata">
      <formula>NOT(ISERROR(SEARCH("nodata",A3)))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9427-71AA-4E1E-AF44-7FA2F2C8F109}">
  <dimension ref="A1:F144"/>
  <sheetViews>
    <sheetView topLeftCell="A117" zoomScale="115" zoomScaleNormal="115" workbookViewId="0">
      <selection activeCell="E143" sqref="E143"/>
    </sheetView>
  </sheetViews>
  <sheetFormatPr defaultRowHeight="15"/>
  <cols>
    <col min="1" max="2" width="10.85546875" style="11" customWidth="1"/>
    <col min="3" max="3" width="37.140625" customWidth="1"/>
    <col min="4" max="4" width="11.85546875" style="11" customWidth="1"/>
    <col min="5" max="5" width="18.85546875" style="11" customWidth="1"/>
    <col min="6" max="6" width="11.28515625" style="11" customWidth="1"/>
    <col min="12" max="12" width="39.28515625" customWidth="1"/>
  </cols>
  <sheetData>
    <row r="1" spans="1:6">
      <c r="A1" s="14" t="s">
        <v>50</v>
      </c>
      <c r="B1" s="14" t="s">
        <v>51</v>
      </c>
      <c r="C1" s="2" t="s">
        <v>24</v>
      </c>
      <c r="D1" s="2" t="s">
        <v>46</v>
      </c>
      <c r="E1" s="2" t="s">
        <v>47</v>
      </c>
      <c r="F1" s="2" t="s">
        <v>42</v>
      </c>
    </row>
    <row r="2" spans="1:6">
      <c r="A2" s="1" t="s">
        <v>34</v>
      </c>
      <c r="B2" s="1" t="s">
        <v>34</v>
      </c>
      <c r="C2" s="1" t="s">
        <v>35</v>
      </c>
      <c r="D2" s="2" t="s">
        <v>34</v>
      </c>
      <c r="E2" s="2" t="s">
        <v>34</v>
      </c>
      <c r="F2" s="2" t="s">
        <v>34</v>
      </c>
    </row>
    <row r="3" spans="1:6">
      <c r="A3" s="1" t="s">
        <v>36</v>
      </c>
      <c r="B3" s="1" t="s">
        <v>36</v>
      </c>
      <c r="C3" s="1" t="s">
        <v>44</v>
      </c>
      <c r="D3" s="11" t="s">
        <v>43</v>
      </c>
      <c r="E3" s="11" t="s">
        <v>43</v>
      </c>
      <c r="F3" s="1" t="s">
        <v>38</v>
      </c>
    </row>
    <row r="4" spans="1:6">
      <c r="A4" s="19">
        <v>1</v>
      </c>
      <c r="B4" s="19">
        <v>2011001</v>
      </c>
      <c r="C4" s="20" t="s">
        <v>97</v>
      </c>
      <c r="D4" s="19">
        <v>1</v>
      </c>
      <c r="E4" s="19">
        <v>1</v>
      </c>
      <c r="F4" s="19">
        <v>1</v>
      </c>
    </row>
    <row r="5" spans="1:6">
      <c r="A5" s="19">
        <v>2</v>
      </c>
      <c r="B5" s="19">
        <v>2011001</v>
      </c>
      <c r="C5" s="20" t="s">
        <v>98</v>
      </c>
      <c r="D5" s="19">
        <v>2</v>
      </c>
      <c r="E5" s="19">
        <v>1</v>
      </c>
      <c r="F5" s="19">
        <v>2</v>
      </c>
    </row>
    <row r="6" spans="1:6">
      <c r="A6" s="19">
        <v>3</v>
      </c>
      <c r="B6" s="19">
        <v>2011001</v>
      </c>
      <c r="C6" s="20" t="s">
        <v>99</v>
      </c>
      <c r="D6" s="19">
        <v>3</v>
      </c>
      <c r="E6" s="19">
        <v>1</v>
      </c>
      <c r="F6" s="19">
        <v>3</v>
      </c>
    </row>
    <row r="7" spans="1:6">
      <c r="A7" s="19">
        <v>4</v>
      </c>
      <c r="B7" s="19">
        <v>2011002</v>
      </c>
      <c r="C7" s="20" t="s">
        <v>48</v>
      </c>
      <c r="D7" s="19">
        <v>11</v>
      </c>
      <c r="E7" s="19">
        <v>1</v>
      </c>
      <c r="F7" s="19">
        <v>4</v>
      </c>
    </row>
    <row r="8" spans="1:6">
      <c r="A8" s="19">
        <v>5</v>
      </c>
      <c r="B8" s="19">
        <v>2011002</v>
      </c>
      <c r="C8" s="20" t="s">
        <v>100</v>
      </c>
      <c r="D8" s="19">
        <v>12</v>
      </c>
      <c r="E8" s="19">
        <v>1</v>
      </c>
      <c r="F8" s="19">
        <v>5</v>
      </c>
    </row>
    <row r="9" spans="1:6">
      <c r="A9" s="19">
        <v>6</v>
      </c>
      <c r="B9" s="19">
        <v>2011002</v>
      </c>
      <c r="C9" s="20" t="s">
        <v>49</v>
      </c>
      <c r="D9" s="19">
        <v>14</v>
      </c>
      <c r="E9" s="19">
        <v>1</v>
      </c>
      <c r="F9" s="19">
        <v>6</v>
      </c>
    </row>
    <row r="10" spans="1:6">
      <c r="A10" s="19">
        <v>7</v>
      </c>
      <c r="B10" s="21">
        <v>2011003</v>
      </c>
      <c r="C10" s="20" t="s">
        <v>101</v>
      </c>
      <c r="D10" s="19">
        <v>25</v>
      </c>
      <c r="E10" s="19">
        <v>1</v>
      </c>
      <c r="F10" s="19">
        <v>7</v>
      </c>
    </row>
    <row r="11" spans="1:6">
      <c r="A11" s="19">
        <v>8</v>
      </c>
      <c r="B11" s="21">
        <v>2011003</v>
      </c>
      <c r="C11" s="20" t="s">
        <v>102</v>
      </c>
      <c r="D11" s="19">
        <v>26</v>
      </c>
      <c r="E11" s="19">
        <v>1</v>
      </c>
      <c r="F11" s="19">
        <v>8</v>
      </c>
    </row>
    <row r="12" spans="1:6">
      <c r="A12" s="19">
        <v>9</v>
      </c>
      <c r="B12" s="11">
        <v>2011004</v>
      </c>
      <c r="C12" t="s">
        <v>103</v>
      </c>
      <c r="D12" s="19">
        <v>43</v>
      </c>
      <c r="E12" s="19">
        <v>1</v>
      </c>
      <c r="F12" s="19">
        <v>9</v>
      </c>
    </row>
    <row r="13" spans="1:6">
      <c r="A13" s="19">
        <v>10</v>
      </c>
      <c r="B13" s="11">
        <v>2011004</v>
      </c>
      <c r="C13" t="s">
        <v>104</v>
      </c>
      <c r="D13" s="19">
        <v>44</v>
      </c>
      <c r="E13" s="19">
        <v>1</v>
      </c>
      <c r="F13" s="19">
        <v>10</v>
      </c>
    </row>
    <row r="14" spans="1:6">
      <c r="A14" s="19">
        <v>11</v>
      </c>
      <c r="B14" s="11">
        <v>2011005</v>
      </c>
      <c r="C14" t="s">
        <v>105</v>
      </c>
      <c r="D14" s="19">
        <v>48</v>
      </c>
      <c r="E14" s="19">
        <v>1</v>
      </c>
      <c r="F14" s="19">
        <v>11</v>
      </c>
    </row>
    <row r="15" spans="1:6">
      <c r="A15" s="19">
        <v>12</v>
      </c>
      <c r="B15" s="11">
        <v>2011005</v>
      </c>
      <c r="C15" t="s">
        <v>106</v>
      </c>
      <c r="D15" s="19">
        <v>49</v>
      </c>
      <c r="E15" s="19">
        <v>1</v>
      </c>
      <c r="F15" s="19">
        <v>12</v>
      </c>
    </row>
    <row r="16" spans="1:6">
      <c r="A16" s="19">
        <v>13</v>
      </c>
      <c r="B16" s="11">
        <v>2011005</v>
      </c>
      <c r="C16" t="s">
        <v>107</v>
      </c>
      <c r="D16" s="19">
        <v>50</v>
      </c>
      <c r="E16" s="19">
        <v>1</v>
      </c>
      <c r="F16" s="19">
        <v>13</v>
      </c>
    </row>
    <row r="17" spans="1:6">
      <c r="A17" s="19">
        <v>14</v>
      </c>
      <c r="B17" s="11">
        <v>2011006</v>
      </c>
      <c r="C17" t="s">
        <v>101</v>
      </c>
      <c r="D17" s="19">
        <v>25</v>
      </c>
      <c r="E17" s="19">
        <v>1</v>
      </c>
      <c r="F17" s="19">
        <v>14</v>
      </c>
    </row>
    <row r="18" spans="1:6">
      <c r="A18" s="19">
        <v>15</v>
      </c>
      <c r="B18" s="11">
        <v>2011006</v>
      </c>
      <c r="C18" t="s">
        <v>108</v>
      </c>
      <c r="D18" s="19">
        <v>30</v>
      </c>
      <c r="E18" s="19">
        <v>1</v>
      </c>
      <c r="F18" s="19">
        <v>15</v>
      </c>
    </row>
    <row r="19" spans="1:6">
      <c r="A19" s="19">
        <v>16</v>
      </c>
      <c r="B19" s="11">
        <v>2011007</v>
      </c>
      <c r="C19" t="s">
        <v>109</v>
      </c>
      <c r="D19" s="19">
        <v>57</v>
      </c>
      <c r="E19" s="19">
        <v>1</v>
      </c>
      <c r="F19" s="19">
        <v>16</v>
      </c>
    </row>
    <row r="20" spans="1:6">
      <c r="A20" s="19">
        <v>17</v>
      </c>
      <c r="B20" s="11">
        <v>2011007</v>
      </c>
      <c r="C20" t="s">
        <v>110</v>
      </c>
      <c r="D20" s="19">
        <v>58</v>
      </c>
      <c r="E20" s="19">
        <v>1</v>
      </c>
      <c r="F20" s="19">
        <v>17</v>
      </c>
    </row>
    <row r="21" spans="1:6">
      <c r="A21" s="19">
        <v>18</v>
      </c>
      <c r="B21" s="11">
        <v>2011007</v>
      </c>
      <c r="C21" t="s">
        <v>111</v>
      </c>
      <c r="D21" s="19">
        <v>59</v>
      </c>
      <c r="E21" s="19">
        <v>1</v>
      </c>
      <c r="F21" s="19">
        <v>18</v>
      </c>
    </row>
    <row r="22" spans="1:6">
      <c r="A22" s="19">
        <v>19</v>
      </c>
      <c r="B22" s="11">
        <v>2011007</v>
      </c>
      <c r="C22" t="s">
        <v>112</v>
      </c>
      <c r="D22" s="19">
        <v>60</v>
      </c>
      <c r="E22" s="19">
        <v>1</v>
      </c>
      <c r="F22" s="19">
        <v>19</v>
      </c>
    </row>
    <row r="23" spans="1:6">
      <c r="A23" s="19">
        <v>20</v>
      </c>
      <c r="B23" s="11">
        <v>2011008</v>
      </c>
      <c r="C23" t="s">
        <v>113</v>
      </c>
      <c r="D23" s="19">
        <v>67</v>
      </c>
      <c r="E23" s="19">
        <v>1</v>
      </c>
      <c r="F23" s="19">
        <v>20</v>
      </c>
    </row>
    <row r="24" spans="1:6">
      <c r="A24" s="19">
        <v>21</v>
      </c>
      <c r="B24" s="11">
        <v>2011008</v>
      </c>
      <c r="C24" t="s">
        <v>114</v>
      </c>
      <c r="D24" s="19">
        <v>68</v>
      </c>
      <c r="E24" s="19">
        <v>1</v>
      </c>
      <c r="F24" s="19">
        <v>21</v>
      </c>
    </row>
    <row r="25" spans="1:6">
      <c r="A25" s="19">
        <v>22</v>
      </c>
      <c r="B25" s="11">
        <v>2011009</v>
      </c>
      <c r="C25" t="s">
        <v>115</v>
      </c>
      <c r="D25" s="19">
        <v>83</v>
      </c>
      <c r="E25" s="19">
        <v>1</v>
      </c>
      <c r="F25" s="19">
        <v>22</v>
      </c>
    </row>
    <row r="26" spans="1:6">
      <c r="A26" s="19">
        <v>23</v>
      </c>
      <c r="B26" s="11">
        <v>2011009</v>
      </c>
      <c r="C26" t="s">
        <v>116</v>
      </c>
      <c r="D26" s="19">
        <v>84</v>
      </c>
      <c r="E26" s="19">
        <v>1</v>
      </c>
      <c r="F26" s="19">
        <v>23</v>
      </c>
    </row>
    <row r="27" spans="1:6">
      <c r="A27" s="19">
        <v>24</v>
      </c>
      <c r="B27" s="11">
        <v>2011009</v>
      </c>
      <c r="C27" t="s">
        <v>117</v>
      </c>
      <c r="D27" s="19">
        <v>85</v>
      </c>
      <c r="E27" s="19">
        <v>1</v>
      </c>
      <c r="F27" s="19">
        <v>24</v>
      </c>
    </row>
    <row r="28" spans="1:6">
      <c r="A28" s="19">
        <v>25</v>
      </c>
      <c r="B28" s="11">
        <v>2011009</v>
      </c>
      <c r="C28" t="s">
        <v>118</v>
      </c>
      <c r="D28" s="19">
        <v>86</v>
      </c>
      <c r="E28" s="19">
        <v>1</v>
      </c>
      <c r="F28" s="19">
        <v>25</v>
      </c>
    </row>
    <row r="29" spans="1:6">
      <c r="A29" s="19">
        <v>26</v>
      </c>
      <c r="B29" s="11">
        <v>2011009</v>
      </c>
      <c r="C29" t="s">
        <v>119</v>
      </c>
      <c r="D29" s="19">
        <v>198</v>
      </c>
      <c r="E29" s="19">
        <v>1</v>
      </c>
      <c r="F29" s="19">
        <v>26</v>
      </c>
    </row>
    <row r="30" spans="1:6">
      <c r="A30" s="19">
        <v>27</v>
      </c>
      <c r="B30" s="11">
        <v>2011010</v>
      </c>
      <c r="C30" t="s">
        <v>120</v>
      </c>
      <c r="D30" s="19">
        <v>47</v>
      </c>
      <c r="E30" s="19">
        <v>1</v>
      </c>
      <c r="F30" s="19">
        <v>27</v>
      </c>
    </row>
    <row r="31" spans="1:6">
      <c r="A31" s="19">
        <v>28</v>
      </c>
      <c r="B31" s="11">
        <v>2011010</v>
      </c>
      <c r="C31" t="s">
        <v>121</v>
      </c>
      <c r="D31" s="19">
        <v>75</v>
      </c>
      <c r="E31" s="19">
        <v>1</v>
      </c>
      <c r="F31" s="19">
        <v>28</v>
      </c>
    </row>
    <row r="32" spans="1:6">
      <c r="A32" s="19">
        <v>29</v>
      </c>
      <c r="B32" s="11">
        <v>2011010</v>
      </c>
      <c r="C32" t="s">
        <v>122</v>
      </c>
      <c r="D32" s="19">
        <v>76</v>
      </c>
      <c r="E32" s="19">
        <v>1</v>
      </c>
      <c r="F32" s="19">
        <v>29</v>
      </c>
    </row>
    <row r="33" spans="1:6">
      <c r="A33" s="19">
        <v>30</v>
      </c>
      <c r="B33" s="11">
        <v>2011011</v>
      </c>
      <c r="C33" t="s">
        <v>123</v>
      </c>
      <c r="D33" s="19">
        <v>56</v>
      </c>
      <c r="E33" s="19">
        <v>1</v>
      </c>
      <c r="F33" s="19">
        <v>30</v>
      </c>
    </row>
    <row r="34" spans="1:6">
      <c r="A34" s="19">
        <v>31</v>
      </c>
      <c r="B34" s="11">
        <v>2011011</v>
      </c>
      <c r="C34" t="s">
        <v>124</v>
      </c>
      <c r="D34" s="19">
        <v>5</v>
      </c>
      <c r="E34" s="19">
        <v>1</v>
      </c>
      <c r="F34" s="19">
        <v>31</v>
      </c>
    </row>
    <row r="35" spans="1:6">
      <c r="A35" s="19">
        <v>32</v>
      </c>
      <c r="B35" s="11">
        <v>2011011</v>
      </c>
      <c r="C35" t="s">
        <v>125</v>
      </c>
      <c r="D35" s="19">
        <v>6</v>
      </c>
      <c r="E35" s="19">
        <v>1</v>
      </c>
      <c r="F35" s="19">
        <v>32</v>
      </c>
    </row>
    <row r="36" spans="1:6">
      <c r="A36" s="19">
        <v>33</v>
      </c>
      <c r="B36" s="11">
        <v>2011011</v>
      </c>
      <c r="C36" t="s">
        <v>126</v>
      </c>
      <c r="D36" s="19">
        <v>7</v>
      </c>
      <c r="E36" s="19">
        <v>1</v>
      </c>
      <c r="F36" s="19">
        <v>33</v>
      </c>
    </row>
    <row r="37" spans="1:6">
      <c r="A37" s="19">
        <v>34</v>
      </c>
      <c r="B37" s="11">
        <v>2011012</v>
      </c>
      <c r="C37" t="s">
        <v>127</v>
      </c>
      <c r="D37" s="19">
        <v>19</v>
      </c>
      <c r="E37" s="19">
        <v>1</v>
      </c>
      <c r="F37" s="19">
        <v>34</v>
      </c>
    </row>
    <row r="38" spans="1:6">
      <c r="A38" s="19">
        <v>35</v>
      </c>
      <c r="B38" s="11">
        <v>2011012</v>
      </c>
      <c r="C38" t="s">
        <v>128</v>
      </c>
      <c r="D38" s="19">
        <v>20</v>
      </c>
      <c r="E38" s="19">
        <v>1</v>
      </c>
      <c r="F38" s="19">
        <v>35</v>
      </c>
    </row>
    <row r="39" spans="1:6">
      <c r="A39" s="19">
        <v>36</v>
      </c>
      <c r="B39" s="11">
        <v>2011012</v>
      </c>
      <c r="C39" t="s">
        <v>129</v>
      </c>
      <c r="D39" s="19">
        <v>94</v>
      </c>
      <c r="E39" s="19">
        <v>1</v>
      </c>
      <c r="F39" s="19">
        <v>36</v>
      </c>
    </row>
    <row r="40" spans="1:6">
      <c r="A40" s="19">
        <v>37</v>
      </c>
      <c r="B40" s="11">
        <v>2011012</v>
      </c>
      <c r="C40" t="s">
        <v>130</v>
      </c>
      <c r="D40" s="19">
        <v>95</v>
      </c>
      <c r="E40" s="19">
        <v>1</v>
      </c>
      <c r="F40" s="19">
        <v>37</v>
      </c>
    </row>
    <row r="41" spans="1:6">
      <c r="A41" s="19">
        <v>38</v>
      </c>
      <c r="B41" s="11">
        <v>2011013</v>
      </c>
      <c r="C41" t="s">
        <v>131</v>
      </c>
      <c r="D41" s="19">
        <v>88</v>
      </c>
      <c r="E41" s="19">
        <v>1</v>
      </c>
      <c r="F41" s="19">
        <v>38</v>
      </c>
    </row>
    <row r="42" spans="1:6">
      <c r="A42" s="19">
        <v>39</v>
      </c>
      <c r="B42" s="11">
        <v>2011013</v>
      </c>
      <c r="C42" t="s">
        <v>132</v>
      </c>
      <c r="D42" s="19">
        <v>90</v>
      </c>
      <c r="E42" s="19">
        <v>1</v>
      </c>
      <c r="F42" s="19">
        <v>39</v>
      </c>
    </row>
    <row r="43" spans="1:6">
      <c r="A43" s="19">
        <v>40</v>
      </c>
      <c r="B43" s="11">
        <v>2011013</v>
      </c>
      <c r="C43" t="s">
        <v>133</v>
      </c>
      <c r="D43" s="19">
        <v>92</v>
      </c>
      <c r="E43" s="19">
        <v>1</v>
      </c>
      <c r="F43" s="19">
        <v>40</v>
      </c>
    </row>
    <row r="44" spans="1:6">
      <c r="A44" s="19">
        <v>41</v>
      </c>
      <c r="B44" s="11">
        <v>2011013</v>
      </c>
      <c r="C44" t="s">
        <v>134</v>
      </c>
      <c r="D44" s="19">
        <v>93</v>
      </c>
      <c r="E44" s="19">
        <v>1</v>
      </c>
      <c r="F44" s="19">
        <v>41</v>
      </c>
    </row>
    <row r="45" spans="1:6">
      <c r="A45" s="19">
        <v>42</v>
      </c>
      <c r="B45" s="11">
        <v>2011014</v>
      </c>
      <c r="C45" t="s">
        <v>135</v>
      </c>
      <c r="D45" s="19">
        <v>101</v>
      </c>
      <c r="E45" s="19">
        <v>1</v>
      </c>
      <c r="F45" s="19">
        <v>42</v>
      </c>
    </row>
    <row r="46" spans="1:6">
      <c r="A46" s="19">
        <v>43</v>
      </c>
      <c r="B46" s="11">
        <v>2011014</v>
      </c>
      <c r="C46" t="s">
        <v>136</v>
      </c>
      <c r="D46" s="19">
        <v>102</v>
      </c>
      <c r="E46" s="19">
        <v>1</v>
      </c>
      <c r="F46" s="19">
        <v>43</v>
      </c>
    </row>
    <row r="47" spans="1:6">
      <c r="A47" s="19">
        <v>44</v>
      </c>
      <c r="B47" s="11">
        <v>2011014</v>
      </c>
      <c r="C47" t="s">
        <v>137</v>
      </c>
      <c r="D47" s="19">
        <v>103</v>
      </c>
      <c r="E47" s="19">
        <v>1</v>
      </c>
      <c r="F47" s="19">
        <v>44</v>
      </c>
    </row>
    <row r="48" spans="1:6">
      <c r="A48" s="19">
        <v>45</v>
      </c>
      <c r="B48" s="11">
        <v>2011014</v>
      </c>
      <c r="C48" t="s">
        <v>138</v>
      </c>
      <c r="D48" s="19">
        <v>105</v>
      </c>
      <c r="E48" s="19">
        <v>1</v>
      </c>
      <c r="F48" s="19">
        <v>45</v>
      </c>
    </row>
    <row r="49" spans="1:6">
      <c r="A49" s="19">
        <v>46</v>
      </c>
      <c r="B49" s="11">
        <v>2011015</v>
      </c>
      <c r="C49" t="s">
        <v>139</v>
      </c>
      <c r="D49" s="19">
        <v>70</v>
      </c>
      <c r="E49" s="19">
        <v>1</v>
      </c>
      <c r="F49" s="19">
        <v>46</v>
      </c>
    </row>
    <row r="50" spans="1:6">
      <c r="A50" s="19">
        <v>47</v>
      </c>
      <c r="B50" s="11">
        <v>2011015</v>
      </c>
      <c r="C50" t="s">
        <v>140</v>
      </c>
      <c r="D50" s="19">
        <v>71</v>
      </c>
      <c r="E50" s="19">
        <v>1</v>
      </c>
      <c r="F50" s="19">
        <v>47</v>
      </c>
    </row>
    <row r="51" spans="1:6">
      <c r="A51" s="19">
        <v>48</v>
      </c>
      <c r="B51" s="11">
        <v>2011015</v>
      </c>
      <c r="C51" t="s">
        <v>141</v>
      </c>
      <c r="D51" s="19">
        <v>72</v>
      </c>
      <c r="E51" s="19">
        <v>1</v>
      </c>
      <c r="F51" s="19">
        <v>48</v>
      </c>
    </row>
    <row r="52" spans="1:6">
      <c r="A52" s="19">
        <v>49</v>
      </c>
      <c r="B52" s="11">
        <v>2011015</v>
      </c>
      <c r="C52" t="s">
        <v>142</v>
      </c>
      <c r="D52" s="19">
        <v>74</v>
      </c>
      <c r="E52" s="19">
        <v>1</v>
      </c>
      <c r="F52" s="19">
        <v>49</v>
      </c>
    </row>
    <row r="53" spans="1:6">
      <c r="A53" s="19">
        <v>50</v>
      </c>
      <c r="B53" s="11">
        <v>2011016</v>
      </c>
      <c r="C53" t="s">
        <v>143</v>
      </c>
      <c r="D53" s="19">
        <v>149</v>
      </c>
      <c r="E53" s="19">
        <v>1</v>
      </c>
      <c r="F53" s="19">
        <v>50</v>
      </c>
    </row>
    <row r="54" spans="1:6">
      <c r="A54" s="19">
        <v>51</v>
      </c>
      <c r="B54" s="11">
        <v>2011016</v>
      </c>
      <c r="C54" t="s">
        <v>144</v>
      </c>
      <c r="D54" s="19">
        <v>37</v>
      </c>
      <c r="E54" s="19">
        <v>1</v>
      </c>
      <c r="F54" s="19">
        <v>51</v>
      </c>
    </row>
    <row r="55" spans="1:6">
      <c r="A55" s="19">
        <v>52</v>
      </c>
      <c r="B55" s="11">
        <v>2011016</v>
      </c>
      <c r="C55" t="s">
        <v>145</v>
      </c>
      <c r="D55" s="19">
        <v>38</v>
      </c>
      <c r="E55" s="19">
        <v>1</v>
      </c>
      <c r="F55" s="19">
        <v>52</v>
      </c>
    </row>
    <row r="56" spans="1:6">
      <c r="A56" s="19">
        <v>53</v>
      </c>
      <c r="B56" s="11">
        <v>2011016</v>
      </c>
      <c r="C56" t="s">
        <v>146</v>
      </c>
      <c r="D56" s="19">
        <v>40</v>
      </c>
      <c r="E56" s="19">
        <v>1</v>
      </c>
      <c r="F56" s="19">
        <v>53</v>
      </c>
    </row>
    <row r="57" spans="1:6">
      <c r="A57" s="19">
        <v>54</v>
      </c>
      <c r="B57" s="11">
        <v>2011016</v>
      </c>
      <c r="C57" t="s">
        <v>147</v>
      </c>
      <c r="D57" s="19">
        <v>39</v>
      </c>
      <c r="E57" s="19">
        <v>1</v>
      </c>
      <c r="F57" s="19">
        <v>54</v>
      </c>
    </row>
    <row r="58" spans="1:6">
      <c r="A58" s="19">
        <v>55</v>
      </c>
      <c r="B58" s="11">
        <v>2011016</v>
      </c>
      <c r="C58" t="s">
        <v>148</v>
      </c>
      <c r="D58" s="19">
        <v>111</v>
      </c>
      <c r="E58" s="19">
        <v>1</v>
      </c>
      <c r="F58" s="19">
        <v>55</v>
      </c>
    </row>
    <row r="59" spans="1:6">
      <c r="A59" s="19">
        <v>56</v>
      </c>
      <c r="B59" s="11">
        <v>2011017</v>
      </c>
      <c r="C59" t="s">
        <v>149</v>
      </c>
      <c r="D59" s="19">
        <v>62</v>
      </c>
      <c r="E59" s="19">
        <v>1</v>
      </c>
      <c r="F59" s="19">
        <v>56</v>
      </c>
    </row>
    <row r="60" spans="1:6">
      <c r="A60" s="19">
        <v>57</v>
      </c>
      <c r="B60" s="11">
        <v>2011017</v>
      </c>
      <c r="C60" t="s">
        <v>150</v>
      </c>
      <c r="D60" s="19">
        <v>63</v>
      </c>
      <c r="E60" s="19">
        <v>1</v>
      </c>
      <c r="F60" s="19">
        <v>57</v>
      </c>
    </row>
    <row r="61" spans="1:6">
      <c r="A61" s="19">
        <v>58</v>
      </c>
      <c r="B61" s="11">
        <v>2011017</v>
      </c>
      <c r="C61" t="s">
        <v>151</v>
      </c>
      <c r="D61" s="19">
        <v>64</v>
      </c>
      <c r="E61" s="19">
        <v>1</v>
      </c>
      <c r="F61" s="19">
        <v>58</v>
      </c>
    </row>
    <row r="62" spans="1:6">
      <c r="A62" s="19">
        <v>59</v>
      </c>
      <c r="B62" s="11">
        <v>2011017</v>
      </c>
      <c r="C62" t="s">
        <v>152</v>
      </c>
      <c r="D62" s="19">
        <v>65</v>
      </c>
      <c r="E62" s="19">
        <v>1</v>
      </c>
      <c r="F62" s="19">
        <v>59</v>
      </c>
    </row>
    <row r="63" spans="1:6">
      <c r="A63" s="19">
        <v>60</v>
      </c>
      <c r="B63" s="11">
        <v>2011017</v>
      </c>
      <c r="C63" t="s">
        <v>153</v>
      </c>
      <c r="D63" s="19">
        <v>66</v>
      </c>
      <c r="E63" s="19">
        <v>1</v>
      </c>
      <c r="F63" s="19">
        <v>60</v>
      </c>
    </row>
    <row r="64" spans="1:6">
      <c r="A64" s="19">
        <v>61</v>
      </c>
      <c r="B64" s="11">
        <v>2011017</v>
      </c>
      <c r="C64" t="s">
        <v>154</v>
      </c>
      <c r="D64" s="19">
        <v>106</v>
      </c>
      <c r="E64" s="19">
        <v>1</v>
      </c>
      <c r="F64" s="19">
        <v>61</v>
      </c>
    </row>
    <row r="65" spans="1:6">
      <c r="A65" s="19">
        <v>62</v>
      </c>
      <c r="B65" s="11">
        <v>2011018</v>
      </c>
      <c r="C65" t="s">
        <v>155</v>
      </c>
      <c r="D65" s="19">
        <v>13</v>
      </c>
      <c r="E65" s="19">
        <v>1</v>
      </c>
      <c r="F65" s="19">
        <v>62</v>
      </c>
    </row>
    <row r="66" spans="1:6">
      <c r="A66" s="19">
        <v>63</v>
      </c>
      <c r="B66" s="11">
        <v>2011018</v>
      </c>
      <c r="C66" t="s">
        <v>156</v>
      </c>
      <c r="D66" s="19">
        <v>24</v>
      </c>
      <c r="E66" s="19">
        <v>1</v>
      </c>
      <c r="F66" s="19">
        <v>63</v>
      </c>
    </row>
    <row r="67" spans="1:6">
      <c r="A67" s="19">
        <v>64</v>
      </c>
      <c r="B67" s="11">
        <v>2011018</v>
      </c>
      <c r="C67" t="s">
        <v>157</v>
      </c>
      <c r="D67" s="19">
        <v>107</v>
      </c>
      <c r="E67" s="19">
        <v>1</v>
      </c>
      <c r="F67" s="19">
        <v>64</v>
      </c>
    </row>
    <row r="68" spans="1:6">
      <c r="A68" s="19">
        <v>65</v>
      </c>
      <c r="B68" s="11">
        <v>2011018</v>
      </c>
      <c r="C68" t="s">
        <v>158</v>
      </c>
      <c r="D68" s="19">
        <v>96</v>
      </c>
      <c r="E68" s="19">
        <v>1</v>
      </c>
      <c r="F68" s="19">
        <v>65</v>
      </c>
    </row>
    <row r="69" spans="1:6">
      <c r="A69" s="19">
        <v>66</v>
      </c>
      <c r="B69" s="11">
        <v>2011018</v>
      </c>
      <c r="C69" t="s">
        <v>159</v>
      </c>
      <c r="D69" s="19">
        <v>97</v>
      </c>
      <c r="E69" s="19">
        <v>1</v>
      </c>
      <c r="F69" s="19">
        <v>66</v>
      </c>
    </row>
    <row r="70" spans="1:6">
      <c r="A70" s="19">
        <v>67</v>
      </c>
      <c r="B70" s="11">
        <v>2011018</v>
      </c>
      <c r="C70" t="s">
        <v>242</v>
      </c>
      <c r="D70" s="19">
        <v>99</v>
      </c>
      <c r="E70" s="19">
        <v>1</v>
      </c>
      <c r="F70" s="19">
        <v>67</v>
      </c>
    </row>
    <row r="71" spans="1:6" ht="16.5">
      <c r="A71" s="19">
        <v>68</v>
      </c>
      <c r="B71" s="11">
        <v>2011018</v>
      </c>
      <c r="C71" s="33" t="s">
        <v>480</v>
      </c>
      <c r="D71" s="19">
        <v>113</v>
      </c>
      <c r="E71" s="19">
        <v>1</v>
      </c>
      <c r="F71" s="19">
        <v>68</v>
      </c>
    </row>
    <row r="72" spans="1:6">
      <c r="A72" s="19">
        <v>69</v>
      </c>
      <c r="B72" s="11">
        <v>2011019</v>
      </c>
      <c r="C72" t="s">
        <v>161</v>
      </c>
      <c r="D72" s="19">
        <v>77</v>
      </c>
      <c r="E72" s="19">
        <v>1</v>
      </c>
      <c r="F72" s="19">
        <v>69</v>
      </c>
    </row>
    <row r="73" spans="1:6">
      <c r="A73" s="19">
        <v>70</v>
      </c>
      <c r="B73" s="11">
        <v>2011019</v>
      </c>
      <c r="C73" t="s">
        <v>162</v>
      </c>
      <c r="D73" s="19">
        <v>78</v>
      </c>
      <c r="E73" s="19">
        <v>1</v>
      </c>
      <c r="F73" s="19">
        <v>70</v>
      </c>
    </row>
    <row r="74" spans="1:6">
      <c r="A74" s="19">
        <v>71</v>
      </c>
      <c r="B74" s="11">
        <v>2011019</v>
      </c>
      <c r="C74" t="s">
        <v>163</v>
      </c>
      <c r="D74" s="19">
        <v>80</v>
      </c>
      <c r="E74" s="19">
        <v>1</v>
      </c>
      <c r="F74" s="19">
        <v>71</v>
      </c>
    </row>
    <row r="75" spans="1:6">
      <c r="A75" s="19">
        <v>72</v>
      </c>
      <c r="B75" s="11">
        <v>2011019</v>
      </c>
      <c r="C75" t="s">
        <v>164</v>
      </c>
      <c r="D75" s="19">
        <v>104</v>
      </c>
      <c r="E75" s="19">
        <v>1</v>
      </c>
      <c r="F75" s="19">
        <v>72</v>
      </c>
    </row>
    <row r="76" spans="1:6">
      <c r="A76" s="19">
        <v>73</v>
      </c>
      <c r="B76" s="11">
        <v>2011019</v>
      </c>
      <c r="C76" t="s">
        <v>165</v>
      </c>
      <c r="D76" s="19">
        <v>54</v>
      </c>
      <c r="E76" s="19">
        <v>1</v>
      </c>
      <c r="F76" s="19">
        <v>73</v>
      </c>
    </row>
    <row r="77" spans="1:6">
      <c r="A77" s="19">
        <v>74</v>
      </c>
      <c r="B77" s="11">
        <v>2011019</v>
      </c>
      <c r="C77" t="s">
        <v>166</v>
      </c>
      <c r="D77" s="19">
        <v>46</v>
      </c>
      <c r="E77" s="19">
        <v>1</v>
      </c>
      <c r="F77" s="19">
        <v>74</v>
      </c>
    </row>
    <row r="78" spans="1:6">
      <c r="A78" s="19">
        <v>75</v>
      </c>
      <c r="B78" s="11">
        <v>2011019</v>
      </c>
      <c r="C78" t="s">
        <v>167</v>
      </c>
      <c r="D78" s="19">
        <v>42</v>
      </c>
      <c r="E78" s="19">
        <v>1</v>
      </c>
      <c r="F78" s="19">
        <v>75</v>
      </c>
    </row>
    <row r="79" spans="1:6">
      <c r="A79" s="19">
        <v>76</v>
      </c>
      <c r="B79" s="11">
        <v>2011019</v>
      </c>
      <c r="C79" t="s">
        <v>168</v>
      </c>
      <c r="D79" s="19">
        <v>108</v>
      </c>
      <c r="E79" s="19">
        <v>1</v>
      </c>
      <c r="F79" s="19">
        <v>76</v>
      </c>
    </row>
    <row r="80" spans="1:6">
      <c r="A80" s="19">
        <v>77</v>
      </c>
      <c r="B80" s="11">
        <v>2011019</v>
      </c>
      <c r="C80" t="s">
        <v>169</v>
      </c>
      <c r="D80" s="19">
        <v>114</v>
      </c>
      <c r="E80" s="19">
        <v>1</v>
      </c>
      <c r="F80" s="19">
        <v>77</v>
      </c>
    </row>
    <row r="81" spans="1:6">
      <c r="A81" s="19">
        <v>78</v>
      </c>
      <c r="B81" s="11">
        <v>2011020</v>
      </c>
      <c r="C81" t="s">
        <v>170</v>
      </c>
      <c r="D81" s="19">
        <v>36</v>
      </c>
      <c r="E81" s="19">
        <v>1</v>
      </c>
      <c r="F81" s="19">
        <v>78</v>
      </c>
    </row>
    <row r="82" spans="1:6">
      <c r="A82" s="19">
        <v>79</v>
      </c>
      <c r="B82" s="11">
        <v>2011020</v>
      </c>
      <c r="C82" t="s">
        <v>171</v>
      </c>
      <c r="D82" s="19">
        <v>35</v>
      </c>
      <c r="E82" s="19">
        <v>1</v>
      </c>
      <c r="F82" s="19">
        <v>79</v>
      </c>
    </row>
    <row r="83" spans="1:6">
      <c r="A83" s="19">
        <v>80</v>
      </c>
      <c r="B83" s="11">
        <v>2011020</v>
      </c>
      <c r="C83" t="s">
        <v>172</v>
      </c>
      <c r="D83" s="19">
        <v>18</v>
      </c>
      <c r="E83" s="19">
        <v>1</v>
      </c>
      <c r="F83" s="19">
        <v>80</v>
      </c>
    </row>
    <row r="84" spans="1:6">
      <c r="A84" s="19">
        <v>81</v>
      </c>
      <c r="B84" s="11">
        <v>2011020</v>
      </c>
      <c r="C84" t="s">
        <v>173</v>
      </c>
      <c r="D84" s="19">
        <v>61</v>
      </c>
      <c r="E84" s="19">
        <v>1</v>
      </c>
      <c r="F84" s="19">
        <v>81</v>
      </c>
    </row>
    <row r="85" spans="1:6">
      <c r="A85" s="19">
        <v>82</v>
      </c>
      <c r="B85" s="11">
        <v>2011020</v>
      </c>
      <c r="C85" t="s">
        <v>174</v>
      </c>
      <c r="D85" s="19">
        <v>69</v>
      </c>
      <c r="E85" s="19">
        <v>1</v>
      </c>
      <c r="F85" s="19">
        <v>82</v>
      </c>
    </row>
    <row r="86" spans="1:6">
      <c r="A86" s="19">
        <v>83</v>
      </c>
      <c r="B86" s="11">
        <v>2011020</v>
      </c>
      <c r="C86" t="s">
        <v>175</v>
      </c>
      <c r="D86" s="19">
        <v>45</v>
      </c>
      <c r="E86" s="19">
        <v>1</v>
      </c>
      <c r="F86" s="19">
        <v>83</v>
      </c>
    </row>
    <row r="87" spans="1:6">
      <c r="A87" s="19">
        <v>84</v>
      </c>
      <c r="B87" s="11">
        <v>2011020</v>
      </c>
      <c r="C87" t="s">
        <v>176</v>
      </c>
      <c r="D87" s="19">
        <v>79</v>
      </c>
      <c r="E87" s="19">
        <v>1</v>
      </c>
      <c r="F87" s="19">
        <v>84</v>
      </c>
    </row>
    <row r="88" spans="1:6">
      <c r="A88" s="19">
        <v>85</v>
      </c>
      <c r="B88" s="11">
        <v>2011020</v>
      </c>
      <c r="C88" t="s">
        <v>177</v>
      </c>
      <c r="D88" s="19">
        <v>52</v>
      </c>
      <c r="E88" s="19">
        <v>1</v>
      </c>
      <c r="F88" s="19">
        <v>85</v>
      </c>
    </row>
    <row r="89" spans="1:6">
      <c r="A89" s="19">
        <v>86</v>
      </c>
      <c r="B89" s="11">
        <v>2011020</v>
      </c>
      <c r="C89" t="s">
        <v>178</v>
      </c>
      <c r="D89" s="19">
        <v>51</v>
      </c>
      <c r="E89" s="19">
        <v>1</v>
      </c>
      <c r="F89" s="19">
        <v>86</v>
      </c>
    </row>
    <row r="90" spans="1:6">
      <c r="A90" s="19">
        <v>87</v>
      </c>
      <c r="B90" s="11">
        <v>2011020</v>
      </c>
      <c r="C90" t="s">
        <v>179</v>
      </c>
      <c r="D90" s="19">
        <v>73</v>
      </c>
      <c r="E90" s="19">
        <v>1</v>
      </c>
      <c r="F90" s="19">
        <v>87</v>
      </c>
    </row>
    <row r="91" spans="1:6">
      <c r="A91" s="19">
        <v>88</v>
      </c>
      <c r="B91" s="11">
        <v>2011020</v>
      </c>
      <c r="C91" t="s">
        <v>180</v>
      </c>
      <c r="D91" s="19">
        <v>100</v>
      </c>
      <c r="E91" s="19">
        <v>1</v>
      </c>
      <c r="F91" s="19">
        <v>88</v>
      </c>
    </row>
    <row r="92" spans="1:6">
      <c r="A92" s="19">
        <v>89</v>
      </c>
      <c r="B92" s="11">
        <v>2011020</v>
      </c>
      <c r="C92" t="s">
        <v>181</v>
      </c>
      <c r="D92" s="19">
        <v>110</v>
      </c>
      <c r="E92" s="19">
        <v>1</v>
      </c>
      <c r="F92" s="19">
        <v>89</v>
      </c>
    </row>
    <row r="93" spans="1:6">
      <c r="A93" s="19">
        <v>90</v>
      </c>
      <c r="B93" s="11">
        <v>2011020</v>
      </c>
      <c r="C93" t="s">
        <v>182</v>
      </c>
      <c r="D93" s="19">
        <v>223</v>
      </c>
      <c r="E93" s="19">
        <v>1</v>
      </c>
      <c r="F93" s="19">
        <v>90</v>
      </c>
    </row>
    <row r="94" spans="1:6">
      <c r="A94" s="19">
        <v>91</v>
      </c>
      <c r="B94" s="11">
        <v>2011020</v>
      </c>
      <c r="C94" t="s">
        <v>183</v>
      </c>
      <c r="D94" s="19">
        <v>91</v>
      </c>
      <c r="E94" s="19">
        <v>1</v>
      </c>
      <c r="F94" s="19">
        <v>91</v>
      </c>
    </row>
    <row r="95" spans="1:6">
      <c r="A95" s="19">
        <v>92</v>
      </c>
      <c r="B95" s="11">
        <v>2011020</v>
      </c>
      <c r="C95" t="s">
        <v>184</v>
      </c>
      <c r="D95" s="19">
        <v>112</v>
      </c>
      <c r="E95" s="19">
        <v>1</v>
      </c>
      <c r="F95" s="19">
        <v>92</v>
      </c>
    </row>
    <row r="96" spans="1:6">
      <c r="A96" s="19">
        <v>93</v>
      </c>
      <c r="B96" s="11">
        <v>2011020</v>
      </c>
      <c r="C96" t="s">
        <v>185</v>
      </c>
      <c r="D96" s="19">
        <v>115</v>
      </c>
      <c r="E96" s="19">
        <v>1</v>
      </c>
      <c r="F96" s="19">
        <v>93</v>
      </c>
    </row>
    <row r="97" spans="1:6">
      <c r="A97" s="19">
        <v>94</v>
      </c>
      <c r="B97" s="11">
        <v>1</v>
      </c>
      <c r="C97" t="s">
        <v>243</v>
      </c>
      <c r="D97" s="11">
        <v>124</v>
      </c>
      <c r="E97" s="19">
        <v>1</v>
      </c>
      <c r="F97" s="19">
        <v>94</v>
      </c>
    </row>
    <row r="98" spans="1:6">
      <c r="A98" s="19">
        <v>95</v>
      </c>
      <c r="B98" s="11">
        <v>1</v>
      </c>
      <c r="C98" t="s">
        <v>244</v>
      </c>
      <c r="D98" s="11">
        <v>126</v>
      </c>
      <c r="E98" s="19">
        <v>1</v>
      </c>
      <c r="F98" s="19">
        <v>95</v>
      </c>
    </row>
    <row r="99" spans="1:6">
      <c r="A99" s="19">
        <v>96</v>
      </c>
      <c r="B99" s="11">
        <v>1</v>
      </c>
      <c r="C99" t="s">
        <v>388</v>
      </c>
      <c r="D99" s="11">
        <v>128</v>
      </c>
      <c r="E99" s="19">
        <v>1</v>
      </c>
      <c r="F99" s="19">
        <v>96</v>
      </c>
    </row>
    <row r="100" spans="1:6">
      <c r="A100" s="19">
        <v>97</v>
      </c>
      <c r="B100" s="11">
        <v>2</v>
      </c>
      <c r="C100" t="s">
        <v>245</v>
      </c>
      <c r="D100" s="11">
        <v>131</v>
      </c>
      <c r="E100" s="19">
        <v>1</v>
      </c>
      <c r="F100" s="19">
        <v>97</v>
      </c>
    </row>
    <row r="101" spans="1:6">
      <c r="A101" s="19">
        <v>98</v>
      </c>
      <c r="B101" s="11">
        <v>2</v>
      </c>
      <c r="C101" t="s">
        <v>389</v>
      </c>
      <c r="D101" s="11">
        <v>134</v>
      </c>
      <c r="E101" s="19">
        <v>1</v>
      </c>
      <c r="F101" s="19">
        <v>98</v>
      </c>
    </row>
    <row r="102" spans="1:6">
      <c r="A102" s="19">
        <v>99</v>
      </c>
      <c r="B102" s="11">
        <v>2</v>
      </c>
      <c r="C102" t="s">
        <v>246</v>
      </c>
      <c r="D102" s="11">
        <v>136</v>
      </c>
      <c r="E102" s="19">
        <v>1</v>
      </c>
      <c r="F102" s="19">
        <v>99</v>
      </c>
    </row>
    <row r="103" spans="1:6">
      <c r="A103" s="19">
        <v>100</v>
      </c>
      <c r="B103" s="11">
        <v>3</v>
      </c>
      <c r="C103" t="s">
        <v>390</v>
      </c>
      <c r="D103" s="11">
        <v>137</v>
      </c>
      <c r="E103" s="19">
        <v>1</v>
      </c>
      <c r="F103" s="19">
        <v>100</v>
      </c>
    </row>
    <row r="104" spans="1:6">
      <c r="A104" s="19">
        <v>101</v>
      </c>
      <c r="B104" s="11">
        <v>3</v>
      </c>
      <c r="C104" t="s">
        <v>247</v>
      </c>
      <c r="D104" s="11">
        <v>139</v>
      </c>
      <c r="E104" s="19">
        <v>1</v>
      </c>
      <c r="F104" s="19">
        <v>101</v>
      </c>
    </row>
    <row r="105" spans="1:6">
      <c r="A105" s="19">
        <v>102</v>
      </c>
      <c r="B105" s="11">
        <v>3</v>
      </c>
      <c r="C105" t="s">
        <v>248</v>
      </c>
      <c r="D105" s="11">
        <v>143</v>
      </c>
      <c r="E105" s="19">
        <v>1</v>
      </c>
      <c r="F105" s="19">
        <v>102</v>
      </c>
    </row>
    <row r="106" spans="1:6">
      <c r="A106" s="19">
        <v>103</v>
      </c>
      <c r="B106" s="11">
        <v>4</v>
      </c>
      <c r="C106" t="s">
        <v>249</v>
      </c>
      <c r="D106" s="11">
        <v>144</v>
      </c>
      <c r="E106" s="19">
        <v>1</v>
      </c>
      <c r="F106" s="19">
        <v>103</v>
      </c>
    </row>
    <row r="107" spans="1:6">
      <c r="A107" s="19">
        <v>104</v>
      </c>
      <c r="B107" s="11">
        <v>4</v>
      </c>
      <c r="C107" t="s">
        <v>143</v>
      </c>
      <c r="D107" s="11">
        <v>149</v>
      </c>
      <c r="E107" s="19">
        <v>1</v>
      </c>
      <c r="F107" s="19">
        <v>104</v>
      </c>
    </row>
    <row r="108" spans="1:6">
      <c r="A108" s="19">
        <v>105</v>
      </c>
      <c r="B108" s="11">
        <v>4</v>
      </c>
      <c r="C108" t="s">
        <v>250</v>
      </c>
      <c r="D108" s="11">
        <v>146</v>
      </c>
      <c r="E108" s="19">
        <v>1</v>
      </c>
      <c r="F108" s="19">
        <v>105</v>
      </c>
    </row>
    <row r="109" spans="1:6">
      <c r="A109" s="19">
        <v>106</v>
      </c>
      <c r="B109" s="11">
        <v>5</v>
      </c>
      <c r="C109" t="s">
        <v>391</v>
      </c>
      <c r="D109" s="11">
        <v>150</v>
      </c>
      <c r="E109" s="19">
        <v>1</v>
      </c>
      <c r="F109" s="19">
        <v>106</v>
      </c>
    </row>
    <row r="110" spans="1:6">
      <c r="A110" s="19">
        <v>107</v>
      </c>
      <c r="B110" s="11">
        <v>5</v>
      </c>
      <c r="C110" t="s">
        <v>252</v>
      </c>
      <c r="D110" s="11">
        <v>155</v>
      </c>
      <c r="E110" s="19">
        <v>1</v>
      </c>
      <c r="F110" s="19">
        <v>107</v>
      </c>
    </row>
    <row r="111" spans="1:6">
      <c r="A111" s="19">
        <v>108</v>
      </c>
      <c r="B111" s="11">
        <v>5</v>
      </c>
      <c r="C111" t="s">
        <v>251</v>
      </c>
      <c r="D111" s="11">
        <v>152</v>
      </c>
      <c r="E111" s="19">
        <v>1</v>
      </c>
      <c r="F111" s="19">
        <v>108</v>
      </c>
    </row>
    <row r="112" spans="1:6">
      <c r="A112" s="19">
        <v>109</v>
      </c>
      <c r="B112" s="11">
        <v>6</v>
      </c>
      <c r="C112" t="s">
        <v>253</v>
      </c>
      <c r="D112" s="11">
        <v>156</v>
      </c>
      <c r="E112" s="19">
        <v>1</v>
      </c>
      <c r="F112" s="19">
        <v>109</v>
      </c>
    </row>
    <row r="113" spans="1:6">
      <c r="A113" s="19">
        <v>110</v>
      </c>
      <c r="B113" s="11">
        <v>6</v>
      </c>
      <c r="C113" t="s">
        <v>254</v>
      </c>
      <c r="D113" s="11">
        <v>159</v>
      </c>
      <c r="E113" s="19">
        <v>1</v>
      </c>
      <c r="F113" s="19">
        <v>110</v>
      </c>
    </row>
    <row r="114" spans="1:6">
      <c r="A114" s="19">
        <v>111</v>
      </c>
      <c r="B114" s="11">
        <v>6</v>
      </c>
      <c r="C114" t="s">
        <v>255</v>
      </c>
      <c r="D114" s="11">
        <v>162</v>
      </c>
      <c r="E114" s="19">
        <v>1</v>
      </c>
      <c r="F114" s="19">
        <v>111</v>
      </c>
    </row>
    <row r="115" spans="1:6">
      <c r="A115" s="19">
        <v>112</v>
      </c>
      <c r="B115" s="11">
        <v>7</v>
      </c>
      <c r="C115" t="s">
        <v>392</v>
      </c>
      <c r="D115" s="11">
        <v>163</v>
      </c>
      <c r="E115" s="19">
        <v>1</v>
      </c>
      <c r="F115" s="19">
        <v>112</v>
      </c>
    </row>
    <row r="116" spans="1:6">
      <c r="A116" s="19">
        <v>113</v>
      </c>
      <c r="B116" s="11">
        <v>7</v>
      </c>
      <c r="C116" t="s">
        <v>393</v>
      </c>
      <c r="D116" s="11">
        <v>166</v>
      </c>
      <c r="E116" s="19">
        <v>1</v>
      </c>
      <c r="F116" s="19">
        <v>113</v>
      </c>
    </row>
    <row r="117" spans="1:6">
      <c r="A117" s="19">
        <v>114</v>
      </c>
      <c r="B117" s="11">
        <v>7</v>
      </c>
      <c r="C117" t="s">
        <v>256</v>
      </c>
      <c r="D117" s="11">
        <v>169</v>
      </c>
      <c r="E117" s="19">
        <v>1</v>
      </c>
      <c r="F117" s="19">
        <v>114</v>
      </c>
    </row>
    <row r="118" spans="1:6">
      <c r="A118" s="19">
        <v>115</v>
      </c>
      <c r="B118" s="11">
        <v>8</v>
      </c>
      <c r="C118" t="s">
        <v>394</v>
      </c>
      <c r="D118" s="11">
        <v>170</v>
      </c>
      <c r="E118" s="19">
        <v>1</v>
      </c>
      <c r="F118" s="19">
        <v>115</v>
      </c>
    </row>
    <row r="119" spans="1:6">
      <c r="A119" s="19">
        <v>116</v>
      </c>
      <c r="B119" s="11">
        <v>8</v>
      </c>
      <c r="C119" t="s">
        <v>257</v>
      </c>
      <c r="D119" s="11">
        <v>172</v>
      </c>
      <c r="E119" s="19">
        <v>1</v>
      </c>
      <c r="F119" s="19">
        <v>116</v>
      </c>
    </row>
    <row r="120" spans="1:6">
      <c r="A120" s="19">
        <v>117</v>
      </c>
      <c r="B120" s="11">
        <v>8</v>
      </c>
      <c r="C120" t="s">
        <v>258</v>
      </c>
      <c r="D120" s="11">
        <v>175</v>
      </c>
      <c r="E120" s="19">
        <v>1</v>
      </c>
      <c r="F120" s="19">
        <v>117</v>
      </c>
    </row>
    <row r="121" spans="1:6">
      <c r="A121" s="19">
        <v>118</v>
      </c>
      <c r="B121" s="11">
        <v>9</v>
      </c>
      <c r="C121" t="s">
        <v>395</v>
      </c>
      <c r="D121" s="11">
        <v>176</v>
      </c>
      <c r="E121" s="19">
        <v>1</v>
      </c>
      <c r="F121" s="19">
        <v>118</v>
      </c>
    </row>
    <row r="122" spans="1:6">
      <c r="A122" s="19">
        <v>119</v>
      </c>
      <c r="B122" s="11">
        <v>9</v>
      </c>
      <c r="C122" t="s">
        <v>259</v>
      </c>
      <c r="D122" s="11">
        <v>178</v>
      </c>
      <c r="E122" s="19">
        <v>1</v>
      </c>
      <c r="F122" s="19">
        <v>119</v>
      </c>
    </row>
    <row r="123" spans="1:6">
      <c r="A123" s="19">
        <v>120</v>
      </c>
      <c r="B123" s="11">
        <v>9</v>
      </c>
      <c r="C123" t="s">
        <v>260</v>
      </c>
      <c r="D123" s="11">
        <v>182</v>
      </c>
      <c r="E123" s="19">
        <v>1</v>
      </c>
      <c r="F123" s="19">
        <v>120</v>
      </c>
    </row>
    <row r="124" spans="1:6">
      <c r="A124" s="19">
        <v>121</v>
      </c>
      <c r="B124" s="11">
        <v>10</v>
      </c>
      <c r="C124" t="s">
        <v>261</v>
      </c>
      <c r="D124" s="11">
        <v>183</v>
      </c>
      <c r="E124" s="19">
        <v>1</v>
      </c>
      <c r="F124" s="19">
        <v>121</v>
      </c>
    </row>
    <row r="125" spans="1:6">
      <c r="A125" s="19">
        <v>122</v>
      </c>
      <c r="B125" s="11">
        <v>10</v>
      </c>
      <c r="C125" t="s">
        <v>262</v>
      </c>
      <c r="D125" s="11">
        <v>185</v>
      </c>
      <c r="E125" s="19">
        <v>1</v>
      </c>
      <c r="F125" s="19">
        <v>122</v>
      </c>
    </row>
    <row r="126" spans="1:6">
      <c r="A126" s="19">
        <v>123</v>
      </c>
      <c r="B126" s="11">
        <v>10</v>
      </c>
      <c r="C126" t="s">
        <v>263</v>
      </c>
      <c r="D126" s="11">
        <v>188</v>
      </c>
      <c r="E126" s="19">
        <v>1</v>
      </c>
      <c r="F126" s="19">
        <v>123</v>
      </c>
    </row>
    <row r="127" spans="1:6">
      <c r="A127" s="19">
        <v>124</v>
      </c>
      <c r="B127" s="11">
        <v>11</v>
      </c>
      <c r="C127" t="s">
        <v>264</v>
      </c>
      <c r="D127" s="11">
        <v>189</v>
      </c>
      <c r="E127" s="19">
        <v>1</v>
      </c>
      <c r="F127" s="19">
        <v>124</v>
      </c>
    </row>
    <row r="128" spans="1:6">
      <c r="A128" s="19">
        <v>125</v>
      </c>
      <c r="B128" s="11">
        <v>11</v>
      </c>
      <c r="C128" t="s">
        <v>396</v>
      </c>
      <c r="D128" s="11">
        <v>192</v>
      </c>
      <c r="E128" s="19">
        <v>1</v>
      </c>
      <c r="F128" s="19">
        <v>125</v>
      </c>
    </row>
    <row r="129" spans="1:6">
      <c r="A129" s="19">
        <v>126</v>
      </c>
      <c r="B129" s="11">
        <v>11</v>
      </c>
      <c r="C129" t="s">
        <v>265</v>
      </c>
      <c r="D129" s="11">
        <v>193</v>
      </c>
      <c r="E129" s="19">
        <v>1</v>
      </c>
      <c r="F129" s="19">
        <v>126</v>
      </c>
    </row>
    <row r="130" spans="1:6">
      <c r="A130" s="19">
        <v>127</v>
      </c>
      <c r="B130" s="11">
        <v>12</v>
      </c>
      <c r="C130" t="s">
        <v>266</v>
      </c>
      <c r="D130" s="11">
        <v>195</v>
      </c>
      <c r="E130" s="19">
        <v>1</v>
      </c>
      <c r="F130" s="19">
        <v>127</v>
      </c>
    </row>
    <row r="131" spans="1:6">
      <c r="A131" s="19">
        <v>128</v>
      </c>
      <c r="B131" s="11">
        <v>12</v>
      </c>
      <c r="C131" t="s">
        <v>397</v>
      </c>
      <c r="D131" s="11">
        <v>197</v>
      </c>
      <c r="E131" s="19">
        <v>1</v>
      </c>
      <c r="F131" s="19">
        <v>128</v>
      </c>
    </row>
    <row r="132" spans="1:6">
      <c r="A132" s="19">
        <v>129</v>
      </c>
      <c r="B132" s="11">
        <v>12</v>
      </c>
      <c r="C132" t="s">
        <v>267</v>
      </c>
      <c r="D132" s="11">
        <v>199</v>
      </c>
      <c r="E132" s="19">
        <v>1</v>
      </c>
      <c r="F132" s="19">
        <v>129</v>
      </c>
    </row>
    <row r="133" spans="1:6">
      <c r="A133" s="19">
        <v>130</v>
      </c>
      <c r="B133" s="11">
        <v>13</v>
      </c>
      <c r="C133" t="s">
        <v>398</v>
      </c>
      <c r="D133" s="11">
        <v>200</v>
      </c>
      <c r="E133" s="19">
        <v>1</v>
      </c>
      <c r="F133" s="19">
        <v>130</v>
      </c>
    </row>
    <row r="134" spans="1:6">
      <c r="A134" s="19">
        <v>131</v>
      </c>
      <c r="B134" s="11">
        <v>13</v>
      </c>
      <c r="C134" t="s">
        <v>268</v>
      </c>
      <c r="D134" s="11">
        <v>203</v>
      </c>
      <c r="E134" s="19">
        <v>1</v>
      </c>
      <c r="F134" s="19">
        <v>131</v>
      </c>
    </row>
    <row r="135" spans="1:6">
      <c r="A135" s="19">
        <v>132</v>
      </c>
      <c r="B135" s="11">
        <v>13</v>
      </c>
      <c r="C135" t="s">
        <v>160</v>
      </c>
      <c r="D135" s="11">
        <v>205</v>
      </c>
      <c r="E135" s="19">
        <v>1</v>
      </c>
      <c r="F135" s="19">
        <v>132</v>
      </c>
    </row>
    <row r="136" spans="1:6">
      <c r="A136" s="19">
        <v>133</v>
      </c>
      <c r="B136" s="11">
        <v>14</v>
      </c>
      <c r="C136" t="s">
        <v>269</v>
      </c>
      <c r="D136" s="11">
        <v>206</v>
      </c>
      <c r="E136" s="19">
        <v>1</v>
      </c>
      <c r="F136" s="19">
        <v>133</v>
      </c>
    </row>
    <row r="137" spans="1:6" ht="16.5">
      <c r="A137" s="19">
        <v>134</v>
      </c>
      <c r="B137" s="11">
        <v>14</v>
      </c>
      <c r="C137" s="31" t="s">
        <v>481</v>
      </c>
      <c r="D137" s="11">
        <v>211</v>
      </c>
      <c r="E137" s="19">
        <v>1</v>
      </c>
      <c r="F137" s="19">
        <v>134</v>
      </c>
    </row>
    <row r="138" spans="1:6">
      <c r="A138" s="19">
        <v>135</v>
      </c>
      <c r="B138" s="11">
        <v>14</v>
      </c>
      <c r="C138" t="s">
        <v>270</v>
      </c>
      <c r="D138" s="11">
        <v>209</v>
      </c>
      <c r="E138" s="19">
        <v>1</v>
      </c>
      <c r="F138" s="19">
        <v>135</v>
      </c>
    </row>
    <row r="139" spans="1:6">
      <c r="A139" s="19">
        <v>136</v>
      </c>
      <c r="B139" s="11">
        <v>15</v>
      </c>
      <c r="C139" t="s">
        <v>271</v>
      </c>
      <c r="D139" s="11">
        <v>212</v>
      </c>
      <c r="E139" s="19">
        <v>1</v>
      </c>
      <c r="F139" s="19">
        <v>136</v>
      </c>
    </row>
    <row r="140" spans="1:6">
      <c r="A140" s="19">
        <v>137</v>
      </c>
      <c r="B140" s="11">
        <v>15</v>
      </c>
      <c r="C140" t="s">
        <v>399</v>
      </c>
      <c r="D140" s="11">
        <v>215</v>
      </c>
      <c r="E140" s="19">
        <v>1</v>
      </c>
      <c r="F140" s="19">
        <v>137</v>
      </c>
    </row>
    <row r="141" spans="1:6">
      <c r="A141" s="19">
        <v>138</v>
      </c>
      <c r="B141" s="11">
        <v>15</v>
      </c>
      <c r="C141" t="s">
        <v>272</v>
      </c>
      <c r="D141" s="11">
        <v>218</v>
      </c>
      <c r="E141" s="19">
        <v>1</v>
      </c>
      <c r="F141" s="19">
        <v>138</v>
      </c>
    </row>
    <row r="142" spans="1:6">
      <c r="A142" s="19">
        <v>139</v>
      </c>
      <c r="B142" s="11">
        <v>16</v>
      </c>
      <c r="C142" t="s">
        <v>400</v>
      </c>
      <c r="D142" s="11">
        <v>219</v>
      </c>
      <c r="E142" s="19">
        <v>1</v>
      </c>
      <c r="F142" s="19">
        <v>139</v>
      </c>
    </row>
    <row r="143" spans="1:6">
      <c r="A143" s="19">
        <v>140</v>
      </c>
      <c r="B143" s="11">
        <v>16</v>
      </c>
      <c r="C143" t="s">
        <v>273</v>
      </c>
      <c r="D143" s="11">
        <v>222</v>
      </c>
      <c r="E143" s="19">
        <v>1</v>
      </c>
      <c r="F143" s="19">
        <v>140</v>
      </c>
    </row>
    <row r="144" spans="1:6">
      <c r="A144" s="19">
        <v>141</v>
      </c>
      <c r="B144" s="11">
        <v>16</v>
      </c>
      <c r="C144" t="s">
        <v>274</v>
      </c>
      <c r="D144" s="11">
        <v>224</v>
      </c>
      <c r="E144" s="19">
        <v>1</v>
      </c>
      <c r="F144" s="19">
        <v>141</v>
      </c>
    </row>
  </sheetData>
  <phoneticPr fontId="1" type="noConversion"/>
  <conditionalFormatting sqref="A3:F3">
    <cfRule type="containsText" dxfId="4" priority="2" operator="containsText" text="all">
      <formula>NOT(ISERROR(SEARCH("all",A3)))</formula>
    </cfRule>
    <cfRule type="containsText" dxfId="3" priority="3" operator="containsText" text="nodata">
      <formula>NOT(ISERROR(SEARCH("nodata",A3)))</formula>
    </cfRule>
  </conditionalFormatting>
  <conditionalFormatting sqref="A4:F9651">
    <cfRule type="expression" dxfId="2" priority="14">
      <formula>(MOD(COUNTIF($E$4:$E4,1),2)=1)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7491-D02F-4002-B17E-51D6BEEC0008}">
  <dimension ref="A1:O120"/>
  <sheetViews>
    <sheetView tabSelected="1" topLeftCell="A84" workbookViewId="0">
      <selection activeCell="B121" sqref="B121"/>
    </sheetView>
  </sheetViews>
  <sheetFormatPr defaultRowHeight="15"/>
  <cols>
    <col min="1" max="1" width="4.140625" style="24" bestFit="1" customWidth="1"/>
    <col min="2" max="2" width="15.28515625" style="24" bestFit="1" customWidth="1"/>
    <col min="3" max="3" width="32.5703125" style="24" bestFit="1" customWidth="1"/>
    <col min="4" max="4" width="13.140625" style="24" bestFit="1" customWidth="1"/>
    <col min="5" max="5" width="14.5703125" style="24" bestFit="1" customWidth="1"/>
    <col min="6" max="6" width="14.140625" style="24" bestFit="1" customWidth="1"/>
    <col min="7" max="7" width="15.7109375" style="24" bestFit="1" customWidth="1"/>
    <col min="8" max="8" width="9.42578125" style="24" bestFit="1" customWidth="1"/>
    <col min="9" max="9" width="15.140625" style="24" bestFit="1" customWidth="1"/>
    <col min="10" max="10" width="13" style="24" bestFit="1" customWidth="1"/>
    <col min="11" max="11" width="10.140625" style="24" bestFit="1" customWidth="1"/>
    <col min="12" max="12" width="11.5703125" style="24" bestFit="1" customWidth="1"/>
    <col min="13" max="13" width="8.85546875" style="24" bestFit="1" customWidth="1"/>
    <col min="14" max="16384" width="9.140625" style="24"/>
  </cols>
  <sheetData>
    <row r="1" spans="1:15">
      <c r="A1" s="14" t="s">
        <v>39</v>
      </c>
      <c r="B1" s="14" t="s">
        <v>307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309</v>
      </c>
      <c r="I1" s="14" t="s">
        <v>310</v>
      </c>
      <c r="J1" s="14" t="s">
        <v>29</v>
      </c>
      <c r="K1" s="14" t="s">
        <v>30</v>
      </c>
      <c r="L1" s="14" t="s">
        <v>31</v>
      </c>
      <c r="M1" s="14" t="s">
        <v>308</v>
      </c>
      <c r="N1" s="14" t="s">
        <v>466</v>
      </c>
      <c r="O1" s="14" t="s">
        <v>467</v>
      </c>
    </row>
    <row r="2" spans="1:15">
      <c r="A2" s="1" t="s">
        <v>34</v>
      </c>
      <c r="B2" s="1" t="s">
        <v>34</v>
      </c>
      <c r="C2" s="1" t="s">
        <v>35</v>
      </c>
      <c r="D2" s="1" t="s">
        <v>34</v>
      </c>
      <c r="E2" s="1" t="s">
        <v>34</v>
      </c>
      <c r="F2" s="1" t="s">
        <v>34</v>
      </c>
      <c r="G2" s="1" t="s">
        <v>35</v>
      </c>
      <c r="H2" s="1" t="s">
        <v>34</v>
      </c>
      <c r="I2" s="1" t="s">
        <v>34</v>
      </c>
      <c r="J2" s="1" t="s">
        <v>311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</row>
    <row r="3" spans="1:15">
      <c r="A3" s="1" t="s">
        <v>36</v>
      </c>
      <c r="B3" s="1" t="s">
        <v>36</v>
      </c>
      <c r="C3" s="1" t="s">
        <v>37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37</v>
      </c>
      <c r="O3" s="1" t="s">
        <v>37</v>
      </c>
    </row>
    <row r="4" spans="1:15">
      <c r="A4" s="24">
        <v>1</v>
      </c>
      <c r="B4" s="24">
        <v>2</v>
      </c>
      <c r="C4" s="24" t="s">
        <v>317</v>
      </c>
      <c r="D4" s="24">
        <v>3</v>
      </c>
      <c r="E4" s="24">
        <v>0</v>
      </c>
      <c r="F4" s="24">
        <v>20</v>
      </c>
      <c r="G4" s="24" t="s">
        <v>318</v>
      </c>
      <c r="H4" s="24">
        <v>0</v>
      </c>
      <c r="I4" s="24">
        <v>0</v>
      </c>
      <c r="J4" s="24">
        <v>2</v>
      </c>
      <c r="K4" s="24">
        <v>0</v>
      </c>
      <c r="L4" s="24">
        <v>20</v>
      </c>
      <c r="M4" s="24">
        <v>0</v>
      </c>
      <c r="N4" s="24">
        <f>IF(D4=34,4,2)</f>
        <v>2</v>
      </c>
      <c r="O4" s="24">
        <f>IF(D4=34,30,20)</f>
        <v>20</v>
      </c>
    </row>
    <row r="5" spans="1:15">
      <c r="A5" s="24">
        <v>2</v>
      </c>
      <c r="B5" s="24">
        <v>3</v>
      </c>
      <c r="C5" s="24" t="s">
        <v>319</v>
      </c>
      <c r="D5" s="24">
        <v>34</v>
      </c>
      <c r="E5" s="24">
        <v>0</v>
      </c>
      <c r="F5" s="24">
        <v>30</v>
      </c>
      <c r="G5" s="24" t="s">
        <v>209</v>
      </c>
      <c r="H5" s="24">
        <v>0</v>
      </c>
      <c r="I5" s="24">
        <v>0</v>
      </c>
      <c r="J5" s="24">
        <v>4</v>
      </c>
      <c r="K5" s="24">
        <v>0</v>
      </c>
      <c r="L5" s="24">
        <v>30</v>
      </c>
      <c r="M5" s="24">
        <v>0</v>
      </c>
      <c r="N5" s="24">
        <f t="shared" ref="N5:N67" si="0">IF(D5=34,4,2)</f>
        <v>4</v>
      </c>
      <c r="O5" s="24">
        <f t="shared" ref="O5:O68" si="1">IF(D5=34,30,20)</f>
        <v>30</v>
      </c>
    </row>
    <row r="6" spans="1:15">
      <c r="A6" s="24">
        <v>3</v>
      </c>
      <c r="B6" s="24">
        <v>4</v>
      </c>
      <c r="C6" s="24" t="s">
        <v>320</v>
      </c>
      <c r="D6" s="24">
        <v>1007</v>
      </c>
      <c r="E6" s="24">
        <v>0</v>
      </c>
      <c r="F6" s="24">
        <v>15</v>
      </c>
      <c r="G6" s="24" t="s">
        <v>321</v>
      </c>
      <c r="H6" s="24">
        <v>0</v>
      </c>
      <c r="I6" s="24">
        <v>0</v>
      </c>
      <c r="J6" s="24">
        <v>2</v>
      </c>
      <c r="K6" s="24">
        <v>0</v>
      </c>
      <c r="L6" s="24">
        <v>20</v>
      </c>
      <c r="M6" s="24">
        <v>0</v>
      </c>
      <c r="N6" s="24">
        <f t="shared" si="0"/>
        <v>2</v>
      </c>
      <c r="O6" s="24">
        <f t="shared" si="1"/>
        <v>20</v>
      </c>
    </row>
    <row r="7" spans="1:15">
      <c r="A7" s="24">
        <v>4</v>
      </c>
      <c r="B7" s="24">
        <v>5</v>
      </c>
      <c r="C7" s="24" t="s">
        <v>428</v>
      </c>
      <c r="D7" s="24">
        <v>34</v>
      </c>
      <c r="E7" s="24">
        <v>0</v>
      </c>
      <c r="F7" s="24">
        <v>70</v>
      </c>
      <c r="G7" s="24" t="s">
        <v>209</v>
      </c>
      <c r="H7" s="24">
        <v>0</v>
      </c>
      <c r="I7" s="24">
        <v>0</v>
      </c>
      <c r="J7" s="24">
        <v>4</v>
      </c>
      <c r="K7" s="24">
        <v>0</v>
      </c>
      <c r="L7" s="24">
        <v>30</v>
      </c>
      <c r="M7" s="24">
        <v>0</v>
      </c>
      <c r="N7" s="24">
        <f t="shared" si="0"/>
        <v>4</v>
      </c>
      <c r="O7" s="24">
        <f t="shared" si="1"/>
        <v>30</v>
      </c>
    </row>
    <row r="8" spans="1:15">
      <c r="A8" s="24">
        <v>5</v>
      </c>
      <c r="B8" s="24">
        <v>6</v>
      </c>
      <c r="C8" s="24" t="s">
        <v>429</v>
      </c>
      <c r="D8" s="24">
        <v>2</v>
      </c>
      <c r="E8" s="24">
        <v>0</v>
      </c>
      <c r="F8" s="24">
        <v>2</v>
      </c>
      <c r="G8" s="24" t="s">
        <v>430</v>
      </c>
      <c r="H8" s="24">
        <v>0</v>
      </c>
      <c r="I8" s="24">
        <v>0</v>
      </c>
      <c r="J8" s="24">
        <v>2</v>
      </c>
      <c r="K8" s="24">
        <v>0</v>
      </c>
      <c r="L8" s="24">
        <v>20</v>
      </c>
      <c r="M8" s="24">
        <v>0</v>
      </c>
      <c r="N8" s="24">
        <f t="shared" si="0"/>
        <v>2</v>
      </c>
      <c r="O8" s="24">
        <f t="shared" si="1"/>
        <v>20</v>
      </c>
    </row>
    <row r="9" spans="1:15">
      <c r="A9" s="24">
        <v>6</v>
      </c>
      <c r="B9" s="24">
        <v>7</v>
      </c>
      <c r="C9" s="24" t="s">
        <v>431</v>
      </c>
      <c r="D9" s="24">
        <v>34</v>
      </c>
      <c r="E9" s="24">
        <v>0</v>
      </c>
      <c r="F9" s="24">
        <v>110</v>
      </c>
      <c r="G9" s="24" t="s">
        <v>209</v>
      </c>
      <c r="H9" s="24">
        <v>0</v>
      </c>
      <c r="I9" s="24">
        <v>0</v>
      </c>
      <c r="J9" s="24">
        <v>4</v>
      </c>
      <c r="K9" s="24">
        <v>0</v>
      </c>
      <c r="L9" s="24">
        <v>30</v>
      </c>
      <c r="M9" s="24">
        <v>0</v>
      </c>
      <c r="N9" s="24">
        <f t="shared" si="0"/>
        <v>4</v>
      </c>
      <c r="O9" s="24">
        <f t="shared" si="1"/>
        <v>30</v>
      </c>
    </row>
    <row r="10" spans="1:15">
      <c r="A10" s="24">
        <v>7</v>
      </c>
      <c r="B10" s="24">
        <v>8</v>
      </c>
      <c r="C10" s="24" t="s">
        <v>322</v>
      </c>
      <c r="D10" s="24">
        <v>3</v>
      </c>
      <c r="E10" s="24">
        <v>0</v>
      </c>
      <c r="F10" s="24">
        <v>40</v>
      </c>
      <c r="G10" s="24" t="s">
        <v>318</v>
      </c>
      <c r="H10" s="24">
        <v>0</v>
      </c>
      <c r="I10" s="24">
        <v>0</v>
      </c>
      <c r="J10" s="24">
        <v>2</v>
      </c>
      <c r="K10" s="24">
        <v>0</v>
      </c>
      <c r="L10" s="24">
        <v>20</v>
      </c>
      <c r="M10" s="24">
        <v>0</v>
      </c>
      <c r="N10" s="24">
        <f t="shared" si="0"/>
        <v>2</v>
      </c>
      <c r="O10" s="24">
        <f t="shared" si="1"/>
        <v>20</v>
      </c>
    </row>
    <row r="11" spans="1:15">
      <c r="A11" s="24">
        <v>8</v>
      </c>
      <c r="B11" s="24">
        <v>9</v>
      </c>
      <c r="C11" s="24" t="s">
        <v>432</v>
      </c>
      <c r="D11" s="24">
        <v>34</v>
      </c>
      <c r="E11" s="24">
        <v>0</v>
      </c>
      <c r="F11" s="24">
        <v>150</v>
      </c>
      <c r="G11" s="24" t="s">
        <v>209</v>
      </c>
      <c r="H11" s="24">
        <v>0</v>
      </c>
      <c r="I11" s="24">
        <v>0</v>
      </c>
      <c r="J11" s="24">
        <v>4</v>
      </c>
      <c r="K11" s="24">
        <v>0</v>
      </c>
      <c r="L11" s="24">
        <v>30</v>
      </c>
      <c r="M11" s="24">
        <v>0</v>
      </c>
      <c r="N11" s="24">
        <f t="shared" si="0"/>
        <v>4</v>
      </c>
      <c r="O11" s="24">
        <f t="shared" si="1"/>
        <v>30</v>
      </c>
    </row>
    <row r="12" spans="1:15">
      <c r="A12" s="24">
        <v>9</v>
      </c>
      <c r="B12" s="24">
        <v>10</v>
      </c>
      <c r="C12" s="24" t="s">
        <v>323</v>
      </c>
      <c r="D12" s="24">
        <v>1007</v>
      </c>
      <c r="E12" s="24">
        <v>0</v>
      </c>
      <c r="F12" s="24">
        <v>40</v>
      </c>
      <c r="G12" s="24" t="s">
        <v>321</v>
      </c>
      <c r="H12" s="24">
        <v>0</v>
      </c>
      <c r="I12" s="24">
        <v>0</v>
      </c>
      <c r="J12" s="24">
        <v>2</v>
      </c>
      <c r="K12" s="24">
        <v>0</v>
      </c>
      <c r="L12" s="24">
        <v>20</v>
      </c>
      <c r="M12" s="24">
        <v>0</v>
      </c>
      <c r="N12" s="24">
        <f t="shared" si="0"/>
        <v>2</v>
      </c>
      <c r="O12" s="24">
        <f t="shared" si="1"/>
        <v>20</v>
      </c>
    </row>
    <row r="13" spans="1:15">
      <c r="A13" s="24">
        <v>10</v>
      </c>
      <c r="B13" s="24">
        <v>11</v>
      </c>
      <c r="C13" s="24" t="s">
        <v>324</v>
      </c>
      <c r="D13" s="24">
        <v>3</v>
      </c>
      <c r="E13" s="24">
        <v>0</v>
      </c>
      <c r="F13" s="24">
        <v>60</v>
      </c>
      <c r="G13" s="24" t="s">
        <v>318</v>
      </c>
      <c r="H13" s="24">
        <v>0</v>
      </c>
      <c r="I13" s="24">
        <v>0</v>
      </c>
      <c r="J13" s="24">
        <v>2</v>
      </c>
      <c r="K13" s="24">
        <v>0</v>
      </c>
      <c r="L13" s="24">
        <v>20</v>
      </c>
      <c r="M13" s="24">
        <v>0</v>
      </c>
      <c r="N13" s="24">
        <f t="shared" si="0"/>
        <v>2</v>
      </c>
      <c r="O13" s="24">
        <f t="shared" si="1"/>
        <v>20</v>
      </c>
    </row>
    <row r="14" spans="1:15">
      <c r="A14" s="24">
        <v>11</v>
      </c>
      <c r="B14" s="24">
        <v>12</v>
      </c>
      <c r="C14" s="24" t="s">
        <v>325</v>
      </c>
      <c r="D14" s="24">
        <v>1</v>
      </c>
      <c r="E14" s="24">
        <v>2</v>
      </c>
      <c r="F14" s="24">
        <v>1</v>
      </c>
      <c r="G14" s="24" t="s">
        <v>326</v>
      </c>
      <c r="H14" s="24">
        <v>0</v>
      </c>
      <c r="I14" s="24">
        <v>0</v>
      </c>
      <c r="J14" s="24">
        <v>2</v>
      </c>
      <c r="K14" s="24">
        <v>0</v>
      </c>
      <c r="L14" s="24">
        <v>20</v>
      </c>
      <c r="M14" s="24">
        <v>0</v>
      </c>
      <c r="N14" s="24">
        <f t="shared" si="0"/>
        <v>2</v>
      </c>
      <c r="O14" s="24">
        <f t="shared" si="1"/>
        <v>20</v>
      </c>
    </row>
    <row r="15" spans="1:15">
      <c r="A15" s="24">
        <v>12</v>
      </c>
      <c r="B15" s="24">
        <v>13</v>
      </c>
      <c r="C15" s="24" t="s">
        <v>433</v>
      </c>
      <c r="D15" s="24">
        <v>34</v>
      </c>
      <c r="E15" s="24">
        <v>0</v>
      </c>
      <c r="F15" s="24">
        <v>200</v>
      </c>
      <c r="G15" s="24" t="s">
        <v>209</v>
      </c>
      <c r="H15" s="24">
        <v>0</v>
      </c>
      <c r="I15" s="24">
        <v>0</v>
      </c>
      <c r="J15" s="24">
        <v>4</v>
      </c>
      <c r="K15" s="24">
        <v>0</v>
      </c>
      <c r="L15" s="24">
        <v>30</v>
      </c>
      <c r="M15" s="24">
        <v>0</v>
      </c>
      <c r="N15" s="24">
        <f t="shared" si="0"/>
        <v>4</v>
      </c>
      <c r="O15" s="24">
        <f t="shared" si="1"/>
        <v>30</v>
      </c>
    </row>
    <row r="16" spans="1:15">
      <c r="A16" s="24">
        <v>13</v>
      </c>
      <c r="B16" s="24">
        <v>14</v>
      </c>
      <c r="C16" s="24" t="s">
        <v>434</v>
      </c>
      <c r="D16" s="24">
        <v>2</v>
      </c>
      <c r="E16" s="24">
        <v>0</v>
      </c>
      <c r="F16" s="24">
        <v>3</v>
      </c>
      <c r="G16" s="24" t="s">
        <v>430</v>
      </c>
      <c r="H16" s="24">
        <v>0</v>
      </c>
      <c r="I16" s="24">
        <v>0</v>
      </c>
      <c r="J16" s="24">
        <v>2</v>
      </c>
      <c r="K16" s="24">
        <v>0</v>
      </c>
      <c r="L16" s="24">
        <v>20</v>
      </c>
      <c r="M16" s="24">
        <v>0</v>
      </c>
      <c r="N16" s="24">
        <f t="shared" si="0"/>
        <v>2</v>
      </c>
      <c r="O16" s="24">
        <f t="shared" si="1"/>
        <v>20</v>
      </c>
    </row>
    <row r="17" spans="1:15">
      <c r="A17" s="24">
        <v>14</v>
      </c>
      <c r="B17" s="24">
        <v>15</v>
      </c>
      <c r="C17" s="24" t="s">
        <v>327</v>
      </c>
      <c r="D17" s="24">
        <v>3</v>
      </c>
      <c r="E17" s="24">
        <v>0</v>
      </c>
      <c r="F17" s="24">
        <v>80</v>
      </c>
      <c r="G17" s="24" t="s">
        <v>318</v>
      </c>
      <c r="H17" s="24">
        <v>0</v>
      </c>
      <c r="I17" s="24">
        <v>0</v>
      </c>
      <c r="J17" s="24">
        <v>2</v>
      </c>
      <c r="K17" s="24">
        <v>0</v>
      </c>
      <c r="L17" s="24">
        <v>20</v>
      </c>
      <c r="M17" s="24">
        <v>0</v>
      </c>
      <c r="N17" s="24">
        <f t="shared" si="0"/>
        <v>2</v>
      </c>
      <c r="O17" s="24">
        <f t="shared" si="1"/>
        <v>20</v>
      </c>
    </row>
    <row r="18" spans="1:15">
      <c r="A18" s="24">
        <v>15</v>
      </c>
      <c r="B18" s="24">
        <v>16</v>
      </c>
      <c r="C18" s="24" t="s">
        <v>435</v>
      </c>
      <c r="D18" s="24">
        <v>34</v>
      </c>
      <c r="E18" s="24">
        <v>0</v>
      </c>
      <c r="F18" s="24">
        <v>230</v>
      </c>
      <c r="G18" s="24" t="s">
        <v>209</v>
      </c>
      <c r="H18" s="24">
        <v>0</v>
      </c>
      <c r="I18" s="24">
        <v>0</v>
      </c>
      <c r="J18" s="24">
        <v>4</v>
      </c>
      <c r="K18" s="24">
        <v>0</v>
      </c>
      <c r="L18" s="24">
        <v>30</v>
      </c>
      <c r="M18" s="24">
        <v>0</v>
      </c>
      <c r="N18" s="24">
        <f t="shared" si="0"/>
        <v>4</v>
      </c>
      <c r="O18" s="24">
        <f t="shared" si="1"/>
        <v>30</v>
      </c>
    </row>
    <row r="19" spans="1:15">
      <c r="A19" s="24">
        <v>16</v>
      </c>
      <c r="B19" s="24">
        <v>17</v>
      </c>
      <c r="C19" s="24" t="s">
        <v>328</v>
      </c>
      <c r="D19" s="24">
        <v>1007</v>
      </c>
      <c r="E19" s="24">
        <v>0</v>
      </c>
      <c r="F19" s="24">
        <v>60</v>
      </c>
      <c r="G19" s="24" t="s">
        <v>321</v>
      </c>
      <c r="H19" s="24">
        <v>0</v>
      </c>
      <c r="I19" s="24">
        <v>0</v>
      </c>
      <c r="J19" s="24">
        <v>2</v>
      </c>
      <c r="K19" s="24">
        <v>0</v>
      </c>
      <c r="L19" s="24">
        <v>20</v>
      </c>
      <c r="M19" s="24">
        <v>0</v>
      </c>
      <c r="N19" s="24">
        <f t="shared" si="0"/>
        <v>2</v>
      </c>
      <c r="O19" s="24">
        <f t="shared" si="1"/>
        <v>20</v>
      </c>
    </row>
    <row r="20" spans="1:15">
      <c r="A20" s="24">
        <v>17</v>
      </c>
      <c r="B20" s="24">
        <v>18</v>
      </c>
      <c r="C20" s="24" t="s">
        <v>329</v>
      </c>
      <c r="D20" s="24">
        <v>3</v>
      </c>
      <c r="E20" s="24">
        <v>0</v>
      </c>
      <c r="F20" s="24">
        <v>100</v>
      </c>
      <c r="G20" s="24" t="s">
        <v>318</v>
      </c>
      <c r="H20" s="24">
        <v>0</v>
      </c>
      <c r="I20" s="24">
        <v>0</v>
      </c>
      <c r="J20" s="24">
        <v>2</v>
      </c>
      <c r="K20" s="24">
        <v>0</v>
      </c>
      <c r="L20" s="24">
        <v>20</v>
      </c>
      <c r="M20" s="24">
        <v>0</v>
      </c>
      <c r="N20" s="24">
        <f t="shared" si="0"/>
        <v>2</v>
      </c>
      <c r="O20" s="24">
        <f t="shared" si="1"/>
        <v>20</v>
      </c>
    </row>
    <row r="21" spans="1:15">
      <c r="A21" s="24">
        <v>18</v>
      </c>
      <c r="B21" s="24">
        <v>19</v>
      </c>
      <c r="C21" s="24" t="s">
        <v>436</v>
      </c>
      <c r="D21" s="24">
        <v>34</v>
      </c>
      <c r="E21" s="24">
        <v>0</v>
      </c>
      <c r="F21" s="24">
        <v>260</v>
      </c>
      <c r="G21" s="24" t="s">
        <v>209</v>
      </c>
      <c r="H21" s="24">
        <v>0</v>
      </c>
      <c r="I21" s="24">
        <v>0</v>
      </c>
      <c r="J21" s="24">
        <v>4</v>
      </c>
      <c r="K21" s="24">
        <v>0</v>
      </c>
      <c r="L21" s="24">
        <v>30</v>
      </c>
      <c r="M21" s="24">
        <v>0</v>
      </c>
      <c r="N21" s="24">
        <f t="shared" si="0"/>
        <v>4</v>
      </c>
      <c r="O21" s="24">
        <f t="shared" si="1"/>
        <v>30</v>
      </c>
    </row>
    <row r="22" spans="1:15">
      <c r="A22" s="24">
        <v>19</v>
      </c>
      <c r="B22" s="24">
        <v>20</v>
      </c>
      <c r="C22" s="24" t="s">
        <v>330</v>
      </c>
      <c r="D22" s="24">
        <v>8</v>
      </c>
      <c r="E22" s="24">
        <v>0</v>
      </c>
      <c r="F22" s="24">
        <v>1</v>
      </c>
      <c r="G22" s="24" t="s">
        <v>52</v>
      </c>
      <c r="H22" s="24">
        <v>0</v>
      </c>
      <c r="I22" s="24">
        <v>0</v>
      </c>
      <c r="J22" s="24">
        <v>2</v>
      </c>
      <c r="K22" s="24">
        <v>0</v>
      </c>
      <c r="L22" s="24">
        <v>20</v>
      </c>
      <c r="M22" s="24">
        <v>0</v>
      </c>
      <c r="N22" s="24">
        <f t="shared" si="0"/>
        <v>2</v>
      </c>
      <c r="O22" s="24">
        <f t="shared" si="1"/>
        <v>20</v>
      </c>
    </row>
    <row r="23" spans="1:15">
      <c r="A23" s="24">
        <v>20</v>
      </c>
      <c r="B23" s="24">
        <v>21</v>
      </c>
      <c r="C23" s="24" t="s">
        <v>437</v>
      </c>
      <c r="D23" s="24">
        <v>2</v>
      </c>
      <c r="E23" s="24">
        <v>0</v>
      </c>
      <c r="F23" s="24">
        <v>4</v>
      </c>
      <c r="G23" s="24" t="s">
        <v>430</v>
      </c>
      <c r="H23" s="24">
        <v>0</v>
      </c>
      <c r="I23" s="24">
        <v>0</v>
      </c>
      <c r="J23" s="24">
        <v>2</v>
      </c>
      <c r="K23" s="24">
        <v>0</v>
      </c>
      <c r="L23" s="24">
        <v>20</v>
      </c>
      <c r="M23" s="24">
        <v>0</v>
      </c>
      <c r="N23" s="24">
        <f t="shared" si="0"/>
        <v>2</v>
      </c>
      <c r="O23" s="24">
        <f t="shared" si="1"/>
        <v>20</v>
      </c>
    </row>
    <row r="24" spans="1:15">
      <c r="A24" s="24">
        <v>21</v>
      </c>
      <c r="B24" s="24">
        <v>22</v>
      </c>
      <c r="C24" s="24" t="s">
        <v>438</v>
      </c>
      <c r="D24" s="24">
        <v>34</v>
      </c>
      <c r="E24" s="24">
        <v>0</v>
      </c>
      <c r="F24" s="24">
        <v>290</v>
      </c>
      <c r="G24" s="24" t="s">
        <v>209</v>
      </c>
      <c r="H24" s="24">
        <v>0</v>
      </c>
      <c r="I24" s="24">
        <v>0</v>
      </c>
      <c r="J24" s="24">
        <v>4</v>
      </c>
      <c r="K24" s="24">
        <v>0</v>
      </c>
      <c r="L24" s="24">
        <v>30</v>
      </c>
      <c r="M24" s="24">
        <v>0</v>
      </c>
      <c r="N24" s="24">
        <f t="shared" si="0"/>
        <v>4</v>
      </c>
      <c r="O24" s="24">
        <f t="shared" si="1"/>
        <v>30</v>
      </c>
    </row>
    <row r="25" spans="1:15">
      <c r="A25" s="24">
        <v>22</v>
      </c>
      <c r="B25" s="24">
        <v>23</v>
      </c>
      <c r="C25" s="24" t="s">
        <v>331</v>
      </c>
      <c r="D25" s="24">
        <v>1007</v>
      </c>
      <c r="E25" s="24">
        <v>0</v>
      </c>
      <c r="F25" s="24">
        <v>80</v>
      </c>
      <c r="G25" s="24" t="s">
        <v>321</v>
      </c>
      <c r="H25" s="24">
        <v>0</v>
      </c>
      <c r="I25" s="24">
        <v>0</v>
      </c>
      <c r="J25" s="24">
        <v>2</v>
      </c>
      <c r="K25" s="24">
        <v>0</v>
      </c>
      <c r="L25" s="24">
        <v>20</v>
      </c>
      <c r="M25" s="24">
        <v>0</v>
      </c>
      <c r="N25" s="24">
        <f t="shared" si="0"/>
        <v>2</v>
      </c>
      <c r="O25" s="24">
        <f t="shared" si="1"/>
        <v>20</v>
      </c>
    </row>
    <row r="26" spans="1:15">
      <c r="A26" s="24">
        <v>23</v>
      </c>
      <c r="B26" s="24">
        <v>24</v>
      </c>
      <c r="C26" s="24" t="s">
        <v>332</v>
      </c>
      <c r="D26" s="24">
        <v>3</v>
      </c>
      <c r="E26" s="24">
        <v>0</v>
      </c>
      <c r="F26" s="24">
        <v>120</v>
      </c>
      <c r="G26" s="24" t="s">
        <v>318</v>
      </c>
      <c r="H26" s="24">
        <v>0</v>
      </c>
      <c r="I26" s="24">
        <v>0</v>
      </c>
      <c r="J26" s="24">
        <v>2</v>
      </c>
      <c r="K26" s="24">
        <v>0</v>
      </c>
      <c r="L26" s="24">
        <v>20</v>
      </c>
      <c r="M26" s="24">
        <v>0</v>
      </c>
      <c r="N26" s="24">
        <f t="shared" si="0"/>
        <v>2</v>
      </c>
      <c r="O26" s="24">
        <f t="shared" si="1"/>
        <v>20</v>
      </c>
    </row>
    <row r="27" spans="1:15">
      <c r="A27" s="24">
        <v>24</v>
      </c>
      <c r="B27" s="24">
        <v>25</v>
      </c>
      <c r="C27" s="24" t="s">
        <v>439</v>
      </c>
      <c r="D27" s="24">
        <v>34</v>
      </c>
      <c r="E27" s="24">
        <v>0</v>
      </c>
      <c r="F27" s="24">
        <v>380</v>
      </c>
      <c r="G27" s="24" t="s">
        <v>209</v>
      </c>
      <c r="H27" s="24">
        <v>0</v>
      </c>
      <c r="I27" s="24">
        <v>0</v>
      </c>
      <c r="J27" s="24">
        <v>4</v>
      </c>
      <c r="K27" s="24">
        <v>0</v>
      </c>
      <c r="L27" s="24">
        <v>30</v>
      </c>
      <c r="M27" s="24">
        <v>0</v>
      </c>
      <c r="N27" s="24">
        <f t="shared" si="0"/>
        <v>4</v>
      </c>
      <c r="O27" s="24">
        <f t="shared" si="1"/>
        <v>30</v>
      </c>
    </row>
    <row r="28" spans="1:15">
      <c r="A28" s="24">
        <v>25</v>
      </c>
      <c r="B28" s="24">
        <v>26</v>
      </c>
      <c r="C28" s="24" t="s">
        <v>440</v>
      </c>
      <c r="D28" s="24">
        <v>2</v>
      </c>
      <c r="E28" s="24">
        <v>0</v>
      </c>
      <c r="F28" s="24">
        <v>5</v>
      </c>
      <c r="G28" s="24" t="s">
        <v>430</v>
      </c>
      <c r="H28" s="24">
        <v>0</v>
      </c>
      <c r="I28" s="24">
        <v>0</v>
      </c>
      <c r="J28" s="24">
        <v>2</v>
      </c>
      <c r="K28" s="24">
        <v>0</v>
      </c>
      <c r="L28" s="24">
        <v>20</v>
      </c>
      <c r="M28" s="24">
        <v>0</v>
      </c>
      <c r="N28" s="24">
        <f t="shared" si="0"/>
        <v>2</v>
      </c>
      <c r="O28" s="24">
        <f t="shared" si="1"/>
        <v>20</v>
      </c>
    </row>
    <row r="29" spans="1:15">
      <c r="A29" s="24">
        <v>26</v>
      </c>
      <c r="B29" s="24">
        <v>27</v>
      </c>
      <c r="C29" s="24" t="s">
        <v>441</v>
      </c>
      <c r="D29" s="24">
        <v>34</v>
      </c>
      <c r="E29" s="24">
        <v>0</v>
      </c>
      <c r="F29" s="24">
        <v>420</v>
      </c>
      <c r="G29" s="24" t="s">
        <v>209</v>
      </c>
      <c r="H29" s="24">
        <v>0</v>
      </c>
      <c r="I29" s="24">
        <v>0</v>
      </c>
      <c r="J29" s="24">
        <v>4</v>
      </c>
      <c r="K29" s="24">
        <v>0</v>
      </c>
      <c r="L29" s="24">
        <v>30</v>
      </c>
      <c r="M29" s="24">
        <v>0</v>
      </c>
      <c r="N29" s="24">
        <f t="shared" si="0"/>
        <v>4</v>
      </c>
      <c r="O29" s="24">
        <f t="shared" si="1"/>
        <v>30</v>
      </c>
    </row>
    <row r="30" spans="1:15">
      <c r="A30" s="24">
        <v>27</v>
      </c>
      <c r="B30" s="24">
        <v>28</v>
      </c>
      <c r="C30" s="24" t="s">
        <v>333</v>
      </c>
      <c r="D30" s="24">
        <v>1007</v>
      </c>
      <c r="E30" s="24">
        <v>0</v>
      </c>
      <c r="F30" s="24">
        <v>100</v>
      </c>
      <c r="G30" s="24" t="s">
        <v>321</v>
      </c>
      <c r="H30" s="24">
        <v>0</v>
      </c>
      <c r="I30" s="24">
        <v>0</v>
      </c>
      <c r="J30" s="24">
        <v>2</v>
      </c>
      <c r="K30" s="24">
        <v>0</v>
      </c>
      <c r="L30" s="24">
        <v>20</v>
      </c>
      <c r="M30" s="24">
        <v>0</v>
      </c>
      <c r="N30" s="24">
        <f t="shared" si="0"/>
        <v>2</v>
      </c>
      <c r="O30" s="24">
        <f t="shared" si="1"/>
        <v>20</v>
      </c>
    </row>
    <row r="31" spans="1:15">
      <c r="A31" s="24">
        <v>28</v>
      </c>
      <c r="B31" s="24">
        <v>29</v>
      </c>
      <c r="C31" s="24" t="s">
        <v>334</v>
      </c>
      <c r="D31" s="24">
        <v>3</v>
      </c>
      <c r="E31" s="24">
        <v>0</v>
      </c>
      <c r="F31" s="24">
        <v>140</v>
      </c>
      <c r="G31" s="24" t="s">
        <v>318</v>
      </c>
      <c r="H31" s="24">
        <v>0</v>
      </c>
      <c r="I31" s="24">
        <v>0</v>
      </c>
      <c r="J31" s="24">
        <v>2</v>
      </c>
      <c r="K31" s="24">
        <v>0</v>
      </c>
      <c r="L31" s="24">
        <v>20</v>
      </c>
      <c r="M31" s="24">
        <v>0</v>
      </c>
      <c r="N31" s="24">
        <f t="shared" si="0"/>
        <v>2</v>
      </c>
      <c r="O31" s="24">
        <f t="shared" si="1"/>
        <v>20</v>
      </c>
    </row>
    <row r="32" spans="1:15">
      <c r="A32" s="24">
        <v>29</v>
      </c>
      <c r="B32" s="24">
        <v>30</v>
      </c>
      <c r="C32" s="24" t="s">
        <v>442</v>
      </c>
      <c r="D32" s="24">
        <v>34</v>
      </c>
      <c r="E32" s="24">
        <v>0</v>
      </c>
      <c r="F32" s="24">
        <v>460</v>
      </c>
      <c r="G32" s="24" t="s">
        <v>209</v>
      </c>
      <c r="H32" s="24">
        <v>0</v>
      </c>
      <c r="I32" s="24">
        <v>0</v>
      </c>
      <c r="J32" s="24">
        <v>4</v>
      </c>
      <c r="K32" s="24">
        <v>0</v>
      </c>
      <c r="L32" s="24">
        <v>30</v>
      </c>
      <c r="M32" s="24">
        <v>0</v>
      </c>
      <c r="N32" s="24">
        <f t="shared" si="0"/>
        <v>4</v>
      </c>
      <c r="O32" s="24">
        <f t="shared" si="1"/>
        <v>30</v>
      </c>
    </row>
    <row r="33" spans="1:15">
      <c r="A33" s="24">
        <v>30</v>
      </c>
      <c r="B33" s="24">
        <v>31</v>
      </c>
      <c r="C33" s="24" t="s">
        <v>335</v>
      </c>
      <c r="D33" s="24">
        <v>1007</v>
      </c>
      <c r="E33" s="24">
        <v>0</v>
      </c>
      <c r="F33" s="24">
        <v>120</v>
      </c>
      <c r="G33" s="24" t="s">
        <v>321</v>
      </c>
      <c r="H33" s="24">
        <v>0</v>
      </c>
      <c r="I33" s="24">
        <v>0</v>
      </c>
      <c r="J33" s="24">
        <v>2</v>
      </c>
      <c r="K33" s="24">
        <v>0</v>
      </c>
      <c r="L33" s="24">
        <v>20</v>
      </c>
      <c r="M33" s="24">
        <v>0</v>
      </c>
      <c r="N33" s="24">
        <f t="shared" si="0"/>
        <v>2</v>
      </c>
      <c r="O33" s="24">
        <f t="shared" si="1"/>
        <v>20</v>
      </c>
    </row>
    <row r="34" spans="1:15">
      <c r="A34" s="24">
        <v>31</v>
      </c>
      <c r="B34" s="24">
        <v>32</v>
      </c>
      <c r="C34" s="24" t="s">
        <v>443</v>
      </c>
      <c r="D34" s="24">
        <v>34</v>
      </c>
      <c r="E34" s="24">
        <v>0</v>
      </c>
      <c r="F34" s="24">
        <v>500</v>
      </c>
      <c r="G34" s="24" t="s">
        <v>209</v>
      </c>
      <c r="H34" s="24">
        <v>0</v>
      </c>
      <c r="I34" s="24">
        <v>0</v>
      </c>
      <c r="J34" s="24">
        <v>4</v>
      </c>
      <c r="K34" s="24">
        <v>0</v>
      </c>
      <c r="L34" s="24">
        <v>30</v>
      </c>
      <c r="M34" s="24">
        <v>0</v>
      </c>
      <c r="N34" s="24">
        <f t="shared" si="0"/>
        <v>4</v>
      </c>
      <c r="O34" s="24">
        <f t="shared" si="1"/>
        <v>30</v>
      </c>
    </row>
    <row r="35" spans="1:15">
      <c r="A35" s="24">
        <v>32</v>
      </c>
      <c r="B35" s="24">
        <v>33</v>
      </c>
      <c r="C35" s="24" t="s">
        <v>337</v>
      </c>
      <c r="D35" s="24">
        <v>1007</v>
      </c>
      <c r="E35" s="24">
        <v>0</v>
      </c>
      <c r="F35" s="24">
        <v>140</v>
      </c>
      <c r="G35" s="24" t="s">
        <v>321</v>
      </c>
      <c r="H35" s="24">
        <v>0</v>
      </c>
      <c r="I35" s="24">
        <v>0</v>
      </c>
      <c r="J35" s="24">
        <v>2</v>
      </c>
      <c r="K35" s="24">
        <v>0</v>
      </c>
      <c r="L35" s="24">
        <v>20</v>
      </c>
      <c r="M35" s="24">
        <v>0</v>
      </c>
      <c r="N35" s="24">
        <f t="shared" si="0"/>
        <v>2</v>
      </c>
      <c r="O35" s="24">
        <f t="shared" si="1"/>
        <v>20</v>
      </c>
    </row>
    <row r="36" spans="1:15">
      <c r="A36" s="24">
        <v>33</v>
      </c>
      <c r="B36" s="24">
        <v>34</v>
      </c>
      <c r="C36" s="24" t="s">
        <v>444</v>
      </c>
      <c r="D36" s="24">
        <v>34</v>
      </c>
      <c r="E36" s="24">
        <v>0</v>
      </c>
      <c r="F36" s="24">
        <v>550</v>
      </c>
      <c r="G36" s="24" t="s">
        <v>209</v>
      </c>
      <c r="H36" s="24">
        <v>0</v>
      </c>
      <c r="I36" s="24">
        <v>0</v>
      </c>
      <c r="J36" s="24">
        <v>4</v>
      </c>
      <c r="K36" s="24">
        <v>0</v>
      </c>
      <c r="L36" s="24">
        <v>30</v>
      </c>
      <c r="M36" s="24">
        <v>0</v>
      </c>
      <c r="N36" s="24">
        <f t="shared" si="0"/>
        <v>4</v>
      </c>
      <c r="O36" s="24">
        <f t="shared" si="1"/>
        <v>30</v>
      </c>
    </row>
    <row r="37" spans="1:15">
      <c r="A37" s="24">
        <v>34</v>
      </c>
      <c r="B37" s="24">
        <v>35</v>
      </c>
      <c r="C37" s="24" t="s">
        <v>336</v>
      </c>
      <c r="D37" s="24">
        <v>1</v>
      </c>
      <c r="E37" s="24">
        <v>3</v>
      </c>
      <c r="F37" s="24">
        <v>1</v>
      </c>
      <c r="G37" s="24" t="s">
        <v>326</v>
      </c>
      <c r="H37" s="24">
        <v>0</v>
      </c>
      <c r="I37" s="24">
        <v>0</v>
      </c>
      <c r="J37" s="24">
        <v>2</v>
      </c>
      <c r="K37" s="24">
        <v>0</v>
      </c>
      <c r="L37" s="24">
        <v>20</v>
      </c>
      <c r="M37" s="24">
        <v>0</v>
      </c>
      <c r="N37" s="24">
        <f t="shared" si="0"/>
        <v>2</v>
      </c>
      <c r="O37" s="24">
        <f t="shared" si="1"/>
        <v>20</v>
      </c>
    </row>
    <row r="38" spans="1:15">
      <c r="A38" s="24">
        <v>35</v>
      </c>
      <c r="B38" s="24">
        <v>36</v>
      </c>
      <c r="C38" s="24" t="s">
        <v>406</v>
      </c>
      <c r="D38" s="24">
        <v>1011</v>
      </c>
      <c r="E38" s="24">
        <v>5</v>
      </c>
      <c r="F38" s="24">
        <v>1</v>
      </c>
      <c r="G38" s="24" t="s">
        <v>408</v>
      </c>
      <c r="H38" s="24">
        <v>0</v>
      </c>
      <c r="I38" s="24">
        <v>0</v>
      </c>
      <c r="J38" s="24">
        <v>2</v>
      </c>
      <c r="K38" s="24">
        <v>0</v>
      </c>
      <c r="L38" s="24">
        <v>20</v>
      </c>
      <c r="M38" s="24">
        <v>0</v>
      </c>
      <c r="N38" s="24">
        <f t="shared" si="0"/>
        <v>2</v>
      </c>
      <c r="O38" s="24">
        <f t="shared" si="1"/>
        <v>20</v>
      </c>
    </row>
    <row r="39" spans="1:15">
      <c r="A39" s="24">
        <v>36</v>
      </c>
      <c r="B39" s="24">
        <v>37</v>
      </c>
      <c r="C39" s="24" t="s">
        <v>445</v>
      </c>
      <c r="D39" s="24">
        <v>2</v>
      </c>
      <c r="E39" s="24">
        <v>1</v>
      </c>
      <c r="F39" s="24">
        <v>1</v>
      </c>
      <c r="G39" s="24" t="s">
        <v>430</v>
      </c>
      <c r="H39" s="24">
        <v>0</v>
      </c>
      <c r="I39" s="24">
        <v>0</v>
      </c>
      <c r="J39" s="24">
        <v>2</v>
      </c>
      <c r="K39" s="24">
        <v>0</v>
      </c>
      <c r="L39" s="24">
        <v>20</v>
      </c>
      <c r="M39" s="24">
        <v>0</v>
      </c>
      <c r="N39" s="24">
        <f t="shared" si="0"/>
        <v>2</v>
      </c>
      <c r="O39" s="24">
        <f t="shared" si="1"/>
        <v>20</v>
      </c>
    </row>
    <row r="40" spans="1:15">
      <c r="A40" s="24">
        <v>37</v>
      </c>
      <c r="B40" s="24">
        <v>38</v>
      </c>
      <c r="C40" s="24" t="s">
        <v>338</v>
      </c>
      <c r="D40" s="24">
        <v>1007</v>
      </c>
      <c r="E40" s="24">
        <v>0</v>
      </c>
      <c r="F40" s="24">
        <v>160</v>
      </c>
      <c r="G40" s="24" t="s">
        <v>321</v>
      </c>
      <c r="H40" s="24">
        <v>0</v>
      </c>
      <c r="I40" s="24">
        <v>0</v>
      </c>
      <c r="J40" s="24">
        <v>2</v>
      </c>
      <c r="K40" s="24">
        <v>0</v>
      </c>
      <c r="L40" s="24">
        <v>20</v>
      </c>
      <c r="M40" s="24">
        <v>0</v>
      </c>
      <c r="N40" s="24">
        <f t="shared" si="0"/>
        <v>2</v>
      </c>
      <c r="O40" s="24">
        <f t="shared" si="1"/>
        <v>20</v>
      </c>
    </row>
    <row r="41" spans="1:15">
      <c r="A41" s="24">
        <v>38</v>
      </c>
      <c r="B41" s="24">
        <v>39</v>
      </c>
      <c r="C41" s="24" t="s">
        <v>339</v>
      </c>
      <c r="D41" s="24">
        <v>3</v>
      </c>
      <c r="E41" s="24">
        <v>0</v>
      </c>
      <c r="F41" s="24">
        <v>160</v>
      </c>
      <c r="G41" s="24" t="s">
        <v>318</v>
      </c>
      <c r="H41" s="24">
        <v>0</v>
      </c>
      <c r="I41" s="24">
        <v>0</v>
      </c>
      <c r="J41" s="24">
        <v>2</v>
      </c>
      <c r="K41" s="24">
        <v>0</v>
      </c>
      <c r="L41" s="24">
        <v>20</v>
      </c>
      <c r="M41" s="24">
        <v>0</v>
      </c>
      <c r="N41" s="24">
        <f t="shared" si="0"/>
        <v>2</v>
      </c>
      <c r="O41" s="24">
        <f t="shared" si="1"/>
        <v>20</v>
      </c>
    </row>
    <row r="42" spans="1:15">
      <c r="A42" s="24">
        <v>39</v>
      </c>
      <c r="B42" s="24">
        <v>40</v>
      </c>
      <c r="C42" s="24" t="s">
        <v>446</v>
      </c>
      <c r="D42" s="24">
        <v>34</v>
      </c>
      <c r="E42" s="24">
        <v>0</v>
      </c>
      <c r="F42" s="24">
        <v>600</v>
      </c>
      <c r="G42" s="24" t="s">
        <v>209</v>
      </c>
      <c r="H42" s="24">
        <v>0</v>
      </c>
      <c r="I42" s="24">
        <v>0</v>
      </c>
      <c r="J42" s="24">
        <v>4</v>
      </c>
      <c r="K42" s="24">
        <v>0</v>
      </c>
      <c r="L42" s="24">
        <v>30</v>
      </c>
      <c r="M42" s="24">
        <v>0</v>
      </c>
      <c r="N42" s="24">
        <f t="shared" si="0"/>
        <v>4</v>
      </c>
      <c r="O42" s="24">
        <f t="shared" si="1"/>
        <v>30</v>
      </c>
    </row>
    <row r="43" spans="1:15">
      <c r="A43" s="24">
        <v>40</v>
      </c>
      <c r="B43" s="24">
        <v>41</v>
      </c>
      <c r="C43" s="24" t="s">
        <v>340</v>
      </c>
      <c r="D43" s="24">
        <v>1007</v>
      </c>
      <c r="E43" s="24">
        <v>0</v>
      </c>
      <c r="F43" s="24">
        <v>200</v>
      </c>
      <c r="G43" s="24" t="s">
        <v>321</v>
      </c>
      <c r="H43" s="24">
        <v>0</v>
      </c>
      <c r="I43" s="24">
        <v>0</v>
      </c>
      <c r="J43" s="24">
        <v>2</v>
      </c>
      <c r="K43" s="24">
        <v>0</v>
      </c>
      <c r="L43" s="24">
        <v>20</v>
      </c>
      <c r="M43" s="24">
        <v>0</v>
      </c>
      <c r="N43" s="24">
        <f t="shared" si="0"/>
        <v>2</v>
      </c>
      <c r="O43" s="24">
        <f t="shared" si="1"/>
        <v>20</v>
      </c>
    </row>
    <row r="44" spans="1:15">
      <c r="A44" s="24">
        <v>41</v>
      </c>
      <c r="B44" s="24">
        <v>42</v>
      </c>
      <c r="C44" s="24" t="s">
        <v>341</v>
      </c>
      <c r="D44" s="24">
        <v>3</v>
      </c>
      <c r="E44" s="24">
        <v>0</v>
      </c>
      <c r="F44" s="24">
        <v>170</v>
      </c>
      <c r="G44" s="24" t="s">
        <v>318</v>
      </c>
      <c r="H44" s="24">
        <v>0</v>
      </c>
      <c r="I44" s="24">
        <v>0</v>
      </c>
      <c r="J44" s="24">
        <v>2</v>
      </c>
      <c r="K44" s="24">
        <v>0</v>
      </c>
      <c r="L44" s="24">
        <v>20</v>
      </c>
      <c r="M44" s="24">
        <v>0</v>
      </c>
      <c r="N44" s="24">
        <f t="shared" si="0"/>
        <v>2</v>
      </c>
      <c r="O44" s="24">
        <f t="shared" si="1"/>
        <v>20</v>
      </c>
    </row>
    <row r="45" spans="1:15">
      <c r="A45" s="24">
        <v>42</v>
      </c>
      <c r="B45" s="24">
        <v>43</v>
      </c>
      <c r="C45" s="24" t="s">
        <v>447</v>
      </c>
      <c r="D45" s="24">
        <v>1009</v>
      </c>
      <c r="E45" s="24">
        <v>0</v>
      </c>
      <c r="F45" s="24">
        <v>1</v>
      </c>
      <c r="G45" s="24" t="s">
        <v>448</v>
      </c>
      <c r="H45" s="24">
        <v>0</v>
      </c>
      <c r="I45" s="24">
        <v>0</v>
      </c>
      <c r="J45" s="24">
        <v>2</v>
      </c>
      <c r="K45" s="24">
        <v>0</v>
      </c>
      <c r="L45" s="24">
        <v>20</v>
      </c>
      <c r="M45" s="24">
        <v>0</v>
      </c>
      <c r="N45" s="24">
        <f t="shared" si="0"/>
        <v>2</v>
      </c>
      <c r="O45" s="24">
        <f t="shared" si="1"/>
        <v>20</v>
      </c>
    </row>
    <row r="46" spans="1:15">
      <c r="A46" s="24">
        <v>43</v>
      </c>
      <c r="B46" s="24">
        <v>44</v>
      </c>
      <c r="C46" s="24" t="s">
        <v>468</v>
      </c>
      <c r="D46" s="24">
        <v>2</v>
      </c>
      <c r="E46" s="24">
        <v>1</v>
      </c>
      <c r="F46" s="24">
        <v>2</v>
      </c>
      <c r="G46" s="24" t="s">
        <v>430</v>
      </c>
      <c r="H46" s="24">
        <v>0</v>
      </c>
      <c r="I46" s="24">
        <v>0</v>
      </c>
      <c r="J46" s="24">
        <v>4</v>
      </c>
      <c r="K46" s="24">
        <v>0</v>
      </c>
      <c r="L46" s="24">
        <v>20</v>
      </c>
      <c r="M46" s="24">
        <v>0</v>
      </c>
      <c r="N46" s="24">
        <f t="shared" si="0"/>
        <v>2</v>
      </c>
      <c r="O46" s="24">
        <f t="shared" si="1"/>
        <v>20</v>
      </c>
    </row>
    <row r="47" spans="1:15">
      <c r="A47" s="24">
        <v>44</v>
      </c>
      <c r="B47" s="24">
        <v>45</v>
      </c>
      <c r="C47" s="24" t="s">
        <v>449</v>
      </c>
      <c r="D47" s="24">
        <v>34</v>
      </c>
      <c r="E47" s="24">
        <v>0</v>
      </c>
      <c r="F47" s="24">
        <v>650</v>
      </c>
      <c r="G47" s="24" t="s">
        <v>209</v>
      </c>
      <c r="H47" s="24">
        <v>0</v>
      </c>
      <c r="I47" s="24">
        <v>0</v>
      </c>
      <c r="J47" s="24">
        <v>2</v>
      </c>
      <c r="K47" s="24">
        <v>0</v>
      </c>
      <c r="L47" s="24">
        <v>30</v>
      </c>
      <c r="M47" s="24">
        <v>0</v>
      </c>
      <c r="N47" s="24">
        <f t="shared" si="0"/>
        <v>4</v>
      </c>
      <c r="O47" s="24">
        <f t="shared" si="1"/>
        <v>30</v>
      </c>
    </row>
    <row r="48" spans="1:15">
      <c r="A48" s="24">
        <v>45</v>
      </c>
      <c r="B48" s="24">
        <v>46</v>
      </c>
      <c r="C48" s="24" t="s">
        <v>342</v>
      </c>
      <c r="D48" s="24">
        <v>3</v>
      </c>
      <c r="E48" s="24">
        <v>0</v>
      </c>
      <c r="F48" s="24">
        <v>180</v>
      </c>
      <c r="G48" s="24" t="s">
        <v>318</v>
      </c>
      <c r="H48" s="24">
        <v>0</v>
      </c>
      <c r="I48" s="24">
        <v>0</v>
      </c>
      <c r="J48" s="24">
        <v>2</v>
      </c>
      <c r="K48" s="24">
        <v>0</v>
      </c>
      <c r="L48" s="24">
        <v>20</v>
      </c>
      <c r="M48" s="24">
        <v>0</v>
      </c>
      <c r="N48" s="24">
        <f t="shared" si="0"/>
        <v>2</v>
      </c>
      <c r="O48" s="24">
        <f t="shared" si="1"/>
        <v>20</v>
      </c>
    </row>
    <row r="49" spans="1:15">
      <c r="A49" s="24">
        <v>46</v>
      </c>
      <c r="B49" s="24">
        <v>47</v>
      </c>
      <c r="C49" s="24" t="s">
        <v>343</v>
      </c>
      <c r="D49" s="24">
        <v>1007</v>
      </c>
      <c r="E49" s="24">
        <v>0</v>
      </c>
      <c r="F49" s="24">
        <v>240</v>
      </c>
      <c r="G49" s="24" t="s">
        <v>321</v>
      </c>
      <c r="H49" s="24">
        <v>0</v>
      </c>
      <c r="I49" s="24">
        <v>0</v>
      </c>
      <c r="J49" s="24">
        <v>4</v>
      </c>
      <c r="K49" s="24">
        <v>0</v>
      </c>
      <c r="L49" s="24">
        <v>20</v>
      </c>
      <c r="M49" s="24">
        <v>0</v>
      </c>
      <c r="N49" s="24">
        <f t="shared" si="0"/>
        <v>2</v>
      </c>
      <c r="O49" s="24">
        <f t="shared" si="1"/>
        <v>20</v>
      </c>
    </row>
    <row r="50" spans="1:15">
      <c r="A50" s="24">
        <v>47</v>
      </c>
      <c r="B50" s="24">
        <v>48</v>
      </c>
      <c r="C50" s="24" t="s">
        <v>450</v>
      </c>
      <c r="D50" s="24">
        <v>34</v>
      </c>
      <c r="E50" s="24">
        <v>0</v>
      </c>
      <c r="F50" s="24">
        <v>700</v>
      </c>
      <c r="G50" s="24" t="s">
        <v>209</v>
      </c>
      <c r="H50" s="24">
        <v>0</v>
      </c>
      <c r="I50" s="24">
        <v>0</v>
      </c>
      <c r="J50" s="24">
        <v>2</v>
      </c>
      <c r="K50" s="24">
        <v>0</v>
      </c>
      <c r="L50" s="24">
        <v>30</v>
      </c>
      <c r="M50" s="24">
        <v>0</v>
      </c>
      <c r="N50" s="24">
        <f t="shared" si="0"/>
        <v>4</v>
      </c>
      <c r="O50" s="24">
        <f t="shared" si="1"/>
        <v>30</v>
      </c>
    </row>
    <row r="51" spans="1:15">
      <c r="A51" s="24">
        <v>48</v>
      </c>
      <c r="B51" s="24">
        <v>49</v>
      </c>
      <c r="C51" s="24" t="s">
        <v>344</v>
      </c>
      <c r="D51" s="24">
        <v>8</v>
      </c>
      <c r="E51" s="24">
        <v>0</v>
      </c>
      <c r="F51" s="24">
        <v>2</v>
      </c>
      <c r="G51" s="24" t="s">
        <v>52</v>
      </c>
      <c r="H51" s="24">
        <v>0</v>
      </c>
      <c r="I51" s="24">
        <v>0</v>
      </c>
      <c r="J51" s="24">
        <v>2</v>
      </c>
      <c r="K51" s="24">
        <v>0</v>
      </c>
      <c r="L51" s="24">
        <v>20</v>
      </c>
      <c r="M51" s="24">
        <v>0</v>
      </c>
      <c r="N51" s="24">
        <f t="shared" si="0"/>
        <v>2</v>
      </c>
      <c r="O51" s="24">
        <f t="shared" si="1"/>
        <v>20</v>
      </c>
    </row>
    <row r="52" spans="1:15">
      <c r="A52" s="24">
        <v>49</v>
      </c>
      <c r="B52" s="24">
        <v>50</v>
      </c>
      <c r="C52" s="24" t="s">
        <v>345</v>
      </c>
      <c r="D52" s="24">
        <v>3</v>
      </c>
      <c r="E52" s="24">
        <v>0</v>
      </c>
      <c r="F52" s="24">
        <v>190</v>
      </c>
      <c r="G52" s="24" t="s">
        <v>318</v>
      </c>
      <c r="H52" s="24">
        <v>0</v>
      </c>
      <c r="I52" s="24">
        <v>0</v>
      </c>
      <c r="J52" s="24">
        <v>2</v>
      </c>
      <c r="K52" s="24">
        <v>0</v>
      </c>
      <c r="L52" s="24">
        <v>20</v>
      </c>
      <c r="M52" s="24">
        <v>0</v>
      </c>
      <c r="N52" s="24">
        <f t="shared" si="0"/>
        <v>2</v>
      </c>
      <c r="O52" s="24">
        <f t="shared" si="1"/>
        <v>20</v>
      </c>
    </row>
    <row r="53" spans="1:15">
      <c r="A53" s="24">
        <v>50</v>
      </c>
      <c r="B53" s="24">
        <v>51</v>
      </c>
      <c r="C53" s="24" t="s">
        <v>346</v>
      </c>
      <c r="D53" s="24">
        <v>1007</v>
      </c>
      <c r="E53" s="24">
        <v>0</v>
      </c>
      <c r="F53" s="24">
        <v>280</v>
      </c>
      <c r="G53" s="24" t="s">
        <v>321</v>
      </c>
      <c r="H53" s="24">
        <v>0</v>
      </c>
      <c r="I53" s="24">
        <v>0</v>
      </c>
      <c r="J53" s="24">
        <v>4</v>
      </c>
      <c r="K53" s="24">
        <v>0</v>
      </c>
      <c r="L53" s="24">
        <v>20</v>
      </c>
      <c r="M53" s="24">
        <v>0</v>
      </c>
      <c r="N53" s="24">
        <f t="shared" si="0"/>
        <v>2</v>
      </c>
      <c r="O53" s="24">
        <f t="shared" si="1"/>
        <v>20</v>
      </c>
    </row>
    <row r="54" spans="1:15">
      <c r="A54" s="24">
        <v>51</v>
      </c>
      <c r="B54" s="24">
        <v>52</v>
      </c>
      <c r="C54" s="24" t="s">
        <v>451</v>
      </c>
      <c r="D54" s="24">
        <v>34</v>
      </c>
      <c r="E54" s="24">
        <v>0</v>
      </c>
      <c r="F54" s="24">
        <v>750</v>
      </c>
      <c r="G54" s="24" t="s">
        <v>209</v>
      </c>
      <c r="H54" s="24">
        <v>0</v>
      </c>
      <c r="I54" s="24">
        <v>0</v>
      </c>
      <c r="J54" s="24">
        <v>2</v>
      </c>
      <c r="K54" s="24">
        <v>0</v>
      </c>
      <c r="L54" s="24">
        <v>30</v>
      </c>
      <c r="M54" s="24">
        <v>0</v>
      </c>
      <c r="N54" s="24">
        <f t="shared" si="0"/>
        <v>4</v>
      </c>
      <c r="O54" s="24">
        <f t="shared" si="1"/>
        <v>30</v>
      </c>
    </row>
    <row r="55" spans="1:15">
      <c r="A55" s="24">
        <v>52</v>
      </c>
      <c r="B55" s="24">
        <v>53</v>
      </c>
      <c r="C55" s="24" t="s">
        <v>347</v>
      </c>
      <c r="D55" s="24">
        <v>9</v>
      </c>
      <c r="E55" s="24">
        <v>1</v>
      </c>
      <c r="F55" s="24">
        <v>2</v>
      </c>
      <c r="G55" s="24" t="s">
        <v>348</v>
      </c>
      <c r="H55" s="24">
        <v>0</v>
      </c>
      <c r="I55" s="24">
        <v>0</v>
      </c>
      <c r="J55" s="24">
        <v>2</v>
      </c>
      <c r="K55" s="24">
        <v>0</v>
      </c>
      <c r="L55" s="24">
        <v>20</v>
      </c>
      <c r="M55" s="24">
        <v>0</v>
      </c>
      <c r="N55" s="24">
        <f t="shared" si="0"/>
        <v>2</v>
      </c>
      <c r="O55" s="24">
        <f t="shared" si="1"/>
        <v>20</v>
      </c>
    </row>
    <row r="56" spans="1:15">
      <c r="A56" s="24">
        <v>53</v>
      </c>
      <c r="B56" s="24">
        <v>54</v>
      </c>
      <c r="C56" s="24" t="s">
        <v>349</v>
      </c>
      <c r="D56" s="24">
        <v>3</v>
      </c>
      <c r="E56" s="24">
        <v>0</v>
      </c>
      <c r="F56" s="24">
        <v>200</v>
      </c>
      <c r="G56" s="24" t="s">
        <v>318</v>
      </c>
      <c r="H56" s="24">
        <v>0</v>
      </c>
      <c r="I56" s="24">
        <v>0</v>
      </c>
      <c r="J56" s="24">
        <v>4</v>
      </c>
      <c r="K56" s="24">
        <v>0</v>
      </c>
      <c r="L56" s="24">
        <v>20</v>
      </c>
      <c r="M56" s="24">
        <v>0</v>
      </c>
      <c r="N56" s="24">
        <f t="shared" si="0"/>
        <v>2</v>
      </c>
      <c r="O56" s="24">
        <f t="shared" si="1"/>
        <v>20</v>
      </c>
    </row>
    <row r="57" spans="1:15">
      <c r="A57" s="24">
        <v>54</v>
      </c>
      <c r="B57" s="24">
        <v>55</v>
      </c>
      <c r="C57" s="24" t="s">
        <v>452</v>
      </c>
      <c r="D57" s="24">
        <v>34</v>
      </c>
      <c r="E57" s="24">
        <v>0</v>
      </c>
      <c r="F57" s="24">
        <v>800</v>
      </c>
      <c r="G57" s="24" t="s">
        <v>209</v>
      </c>
      <c r="H57" s="24">
        <v>0</v>
      </c>
      <c r="I57" s="24">
        <v>0</v>
      </c>
      <c r="J57" s="24">
        <v>2</v>
      </c>
      <c r="K57" s="24">
        <v>0</v>
      </c>
      <c r="L57" s="24">
        <v>30</v>
      </c>
      <c r="M57" s="24">
        <v>0</v>
      </c>
      <c r="N57" s="24">
        <f t="shared" si="0"/>
        <v>4</v>
      </c>
      <c r="O57" s="24">
        <f t="shared" si="1"/>
        <v>30</v>
      </c>
    </row>
    <row r="58" spans="1:15">
      <c r="A58" s="24">
        <v>55</v>
      </c>
      <c r="B58" s="24">
        <v>56</v>
      </c>
      <c r="C58" s="24" t="s">
        <v>350</v>
      </c>
      <c r="D58" s="24">
        <v>1007</v>
      </c>
      <c r="E58" s="24">
        <v>0</v>
      </c>
      <c r="F58" s="24">
        <v>320</v>
      </c>
      <c r="G58" s="24" t="s">
        <v>321</v>
      </c>
      <c r="H58" s="24">
        <v>0</v>
      </c>
      <c r="I58" s="24">
        <v>0</v>
      </c>
      <c r="J58" s="24">
        <v>4</v>
      </c>
      <c r="K58" s="24">
        <v>0</v>
      </c>
      <c r="L58" s="24">
        <v>20</v>
      </c>
      <c r="M58" s="24">
        <v>0</v>
      </c>
      <c r="N58" s="24">
        <f t="shared" si="0"/>
        <v>2</v>
      </c>
      <c r="O58" s="24">
        <f t="shared" si="1"/>
        <v>20</v>
      </c>
    </row>
    <row r="59" spans="1:15">
      <c r="A59" s="24">
        <v>56</v>
      </c>
      <c r="B59" s="24">
        <v>57</v>
      </c>
      <c r="C59" s="24" t="s">
        <v>453</v>
      </c>
      <c r="D59" s="24">
        <v>34</v>
      </c>
      <c r="E59" s="24">
        <v>0</v>
      </c>
      <c r="F59" s="24">
        <v>850</v>
      </c>
      <c r="G59" s="24" t="s">
        <v>209</v>
      </c>
      <c r="H59" s="24">
        <v>0</v>
      </c>
      <c r="I59" s="24">
        <v>0</v>
      </c>
      <c r="J59" s="24">
        <v>2</v>
      </c>
      <c r="K59" s="24">
        <v>0</v>
      </c>
      <c r="L59" s="24">
        <v>30</v>
      </c>
      <c r="M59" s="24">
        <v>0</v>
      </c>
      <c r="N59" s="24">
        <f t="shared" si="0"/>
        <v>4</v>
      </c>
      <c r="O59" s="24">
        <f t="shared" si="1"/>
        <v>30</v>
      </c>
    </row>
    <row r="60" spans="1:15">
      <c r="A60" s="24">
        <v>57</v>
      </c>
      <c r="B60" s="24">
        <v>58</v>
      </c>
      <c r="C60" s="24" t="s">
        <v>351</v>
      </c>
      <c r="D60" s="24">
        <v>3</v>
      </c>
      <c r="E60" s="24">
        <v>0</v>
      </c>
      <c r="F60" s="24">
        <v>220</v>
      </c>
      <c r="G60" s="24" t="s">
        <v>318</v>
      </c>
      <c r="H60" s="24">
        <v>0</v>
      </c>
      <c r="I60" s="24">
        <v>0</v>
      </c>
      <c r="J60" s="24">
        <v>2</v>
      </c>
      <c r="K60" s="24">
        <v>0</v>
      </c>
      <c r="L60" s="24">
        <v>20</v>
      </c>
      <c r="M60" s="24">
        <v>0</v>
      </c>
      <c r="N60" s="24">
        <v>0</v>
      </c>
      <c r="O60" s="24">
        <f t="shared" si="1"/>
        <v>20</v>
      </c>
    </row>
    <row r="61" spans="1:15">
      <c r="A61" s="24">
        <v>58</v>
      </c>
      <c r="B61" s="24">
        <v>59</v>
      </c>
      <c r="C61" s="24" t="s">
        <v>454</v>
      </c>
      <c r="D61" s="24">
        <v>34</v>
      </c>
      <c r="E61" s="24">
        <v>0</v>
      </c>
      <c r="F61" s="24">
        <v>900</v>
      </c>
      <c r="G61" s="24" t="s">
        <v>209</v>
      </c>
      <c r="H61" s="24">
        <v>0</v>
      </c>
      <c r="I61" s="24">
        <v>0</v>
      </c>
      <c r="J61" s="24">
        <v>2</v>
      </c>
      <c r="K61" s="24">
        <v>0</v>
      </c>
      <c r="L61" s="30">
        <v>300</v>
      </c>
      <c r="M61" s="24">
        <v>0</v>
      </c>
      <c r="N61" s="24">
        <f t="shared" si="0"/>
        <v>4</v>
      </c>
      <c r="O61" s="24">
        <f t="shared" si="1"/>
        <v>30</v>
      </c>
    </row>
    <row r="62" spans="1:15">
      <c r="A62" s="24">
        <v>59</v>
      </c>
      <c r="B62" s="24">
        <v>60</v>
      </c>
      <c r="C62" s="24" t="s">
        <v>352</v>
      </c>
      <c r="D62" s="24">
        <v>10</v>
      </c>
      <c r="E62" s="24">
        <v>1</v>
      </c>
      <c r="F62" s="24">
        <v>1</v>
      </c>
      <c r="G62" s="24" t="s">
        <v>353</v>
      </c>
      <c r="H62" s="24">
        <v>0</v>
      </c>
      <c r="I62" s="24">
        <v>0</v>
      </c>
      <c r="J62" s="24">
        <v>2</v>
      </c>
      <c r="K62" s="24">
        <v>0</v>
      </c>
      <c r="L62" s="24">
        <v>20</v>
      </c>
      <c r="M62" s="24">
        <v>0</v>
      </c>
      <c r="N62" s="24">
        <f t="shared" si="0"/>
        <v>2</v>
      </c>
      <c r="O62" s="24">
        <f t="shared" si="1"/>
        <v>20</v>
      </c>
    </row>
    <row r="63" spans="1:15">
      <c r="A63" s="24">
        <v>60</v>
      </c>
      <c r="B63" s="24">
        <v>61</v>
      </c>
      <c r="C63" s="24" t="s">
        <v>354</v>
      </c>
      <c r="D63" s="24">
        <v>1007</v>
      </c>
      <c r="E63" s="24">
        <v>0</v>
      </c>
      <c r="F63" s="24">
        <v>340</v>
      </c>
      <c r="G63" s="24" t="s">
        <v>321</v>
      </c>
      <c r="H63" s="24">
        <v>0</v>
      </c>
      <c r="I63" s="24">
        <v>0</v>
      </c>
      <c r="J63" s="24">
        <v>2</v>
      </c>
      <c r="K63" s="24">
        <v>0</v>
      </c>
      <c r="L63" s="24">
        <v>20</v>
      </c>
      <c r="M63" s="24">
        <v>0</v>
      </c>
      <c r="N63" s="24">
        <f t="shared" si="0"/>
        <v>2</v>
      </c>
      <c r="O63" s="24">
        <f t="shared" si="1"/>
        <v>20</v>
      </c>
    </row>
    <row r="64" spans="1:15">
      <c r="A64" s="24">
        <v>61</v>
      </c>
      <c r="B64" s="24">
        <v>62</v>
      </c>
      <c r="C64" s="31" t="s">
        <v>455</v>
      </c>
      <c r="D64" s="24">
        <v>34</v>
      </c>
      <c r="E64" s="24">
        <v>0</v>
      </c>
      <c r="F64" s="24">
        <v>950</v>
      </c>
      <c r="G64" s="24" t="s">
        <v>209</v>
      </c>
      <c r="H64" s="24">
        <v>0</v>
      </c>
      <c r="I64" s="24">
        <v>0</v>
      </c>
      <c r="J64" s="24">
        <v>4</v>
      </c>
      <c r="K64" s="24">
        <v>0</v>
      </c>
      <c r="L64" s="24">
        <v>30</v>
      </c>
      <c r="M64" s="24">
        <v>0</v>
      </c>
      <c r="N64" s="24">
        <f t="shared" si="0"/>
        <v>4</v>
      </c>
      <c r="O64" s="24">
        <f t="shared" si="1"/>
        <v>30</v>
      </c>
    </row>
    <row r="65" spans="1:15">
      <c r="A65" s="24">
        <v>62</v>
      </c>
      <c r="B65" s="24">
        <v>63</v>
      </c>
      <c r="C65" s="24" t="s">
        <v>469</v>
      </c>
      <c r="D65" s="24">
        <v>2</v>
      </c>
      <c r="E65" s="24">
        <v>1</v>
      </c>
      <c r="F65" s="24">
        <v>3</v>
      </c>
      <c r="G65" s="24" t="s">
        <v>430</v>
      </c>
      <c r="H65" s="24">
        <v>0</v>
      </c>
      <c r="I65" s="24">
        <v>0</v>
      </c>
      <c r="J65" s="24">
        <v>2</v>
      </c>
      <c r="K65" s="24">
        <v>0</v>
      </c>
      <c r="L65" s="24">
        <v>20</v>
      </c>
      <c r="M65" s="24">
        <v>0</v>
      </c>
      <c r="N65" s="24">
        <f t="shared" si="0"/>
        <v>2</v>
      </c>
      <c r="O65" s="24">
        <f t="shared" si="1"/>
        <v>20</v>
      </c>
    </row>
    <row r="66" spans="1:15">
      <c r="A66" s="24">
        <v>63</v>
      </c>
      <c r="B66" s="24">
        <v>64</v>
      </c>
      <c r="C66" s="24" t="s">
        <v>355</v>
      </c>
      <c r="D66" s="24">
        <v>3</v>
      </c>
      <c r="E66" s="24">
        <v>0</v>
      </c>
      <c r="F66" s="24">
        <v>240</v>
      </c>
      <c r="G66" s="24" t="s">
        <v>318</v>
      </c>
      <c r="H66" s="24">
        <v>0</v>
      </c>
      <c r="I66" s="24">
        <v>0</v>
      </c>
      <c r="J66" s="24">
        <v>2</v>
      </c>
      <c r="K66" s="24">
        <v>0</v>
      </c>
      <c r="L66" s="24">
        <v>20</v>
      </c>
      <c r="M66" s="24">
        <v>0</v>
      </c>
      <c r="N66" s="24">
        <f t="shared" si="0"/>
        <v>2</v>
      </c>
      <c r="O66" s="24">
        <f t="shared" si="1"/>
        <v>20</v>
      </c>
    </row>
    <row r="67" spans="1:15">
      <c r="A67" s="24">
        <v>64</v>
      </c>
      <c r="B67" s="24">
        <v>65</v>
      </c>
      <c r="C67" s="24" t="s">
        <v>356</v>
      </c>
      <c r="D67" s="24">
        <v>1007</v>
      </c>
      <c r="E67" s="24">
        <v>0</v>
      </c>
      <c r="F67" s="24">
        <v>360</v>
      </c>
      <c r="G67" s="24" t="s">
        <v>321</v>
      </c>
      <c r="H67" s="24">
        <v>0</v>
      </c>
      <c r="I67" s="24">
        <v>0</v>
      </c>
      <c r="J67" s="24">
        <v>2</v>
      </c>
      <c r="K67" s="24">
        <v>0</v>
      </c>
      <c r="L67" s="24">
        <v>20</v>
      </c>
      <c r="M67" s="24">
        <v>0</v>
      </c>
      <c r="N67" s="24">
        <f t="shared" si="0"/>
        <v>2</v>
      </c>
      <c r="O67" s="24">
        <f t="shared" si="1"/>
        <v>20</v>
      </c>
    </row>
    <row r="68" spans="1:15">
      <c r="A68" s="24">
        <v>65</v>
      </c>
      <c r="B68" s="24">
        <v>66</v>
      </c>
      <c r="C68" s="24" t="s">
        <v>357</v>
      </c>
      <c r="D68" s="24">
        <v>1</v>
      </c>
      <c r="E68" s="24">
        <v>4</v>
      </c>
      <c r="F68" s="24">
        <v>1</v>
      </c>
      <c r="G68" s="24" t="s">
        <v>326</v>
      </c>
      <c r="H68" s="24">
        <v>0</v>
      </c>
      <c r="I68" s="24">
        <v>0</v>
      </c>
      <c r="J68" s="24">
        <v>2</v>
      </c>
      <c r="K68" s="24">
        <v>0</v>
      </c>
      <c r="L68" s="24">
        <v>20</v>
      </c>
      <c r="M68" s="24">
        <v>0</v>
      </c>
      <c r="N68" s="24">
        <f t="shared" ref="N68:N118" si="2">IF(D68=34,4,2)</f>
        <v>2</v>
      </c>
      <c r="O68" s="24">
        <f t="shared" si="1"/>
        <v>20</v>
      </c>
    </row>
    <row r="69" spans="1:15">
      <c r="A69" s="24">
        <v>66</v>
      </c>
      <c r="B69" s="24">
        <v>67</v>
      </c>
      <c r="C69" s="24" t="s">
        <v>456</v>
      </c>
      <c r="D69" s="24">
        <v>34</v>
      </c>
      <c r="E69" s="24">
        <v>0</v>
      </c>
      <c r="F69" s="24">
        <v>1000</v>
      </c>
      <c r="G69" s="24" t="s">
        <v>209</v>
      </c>
      <c r="H69" s="24">
        <v>0</v>
      </c>
      <c r="I69" s="24">
        <v>0</v>
      </c>
      <c r="J69" s="24">
        <v>4</v>
      </c>
      <c r="K69" s="24">
        <v>0</v>
      </c>
      <c r="L69" s="24">
        <v>30</v>
      </c>
      <c r="M69" s="24">
        <v>0</v>
      </c>
      <c r="N69" s="24">
        <f t="shared" si="2"/>
        <v>4</v>
      </c>
      <c r="O69" s="24">
        <f t="shared" ref="O69:O120" si="3">IF(D69=34,30,20)</f>
        <v>30</v>
      </c>
    </row>
    <row r="70" spans="1:15">
      <c r="A70" s="24">
        <v>67</v>
      </c>
      <c r="B70" s="24">
        <v>68</v>
      </c>
      <c r="C70" s="31" t="s">
        <v>358</v>
      </c>
      <c r="D70" s="24">
        <v>1007</v>
      </c>
      <c r="E70" s="24">
        <v>0</v>
      </c>
      <c r="F70" s="24">
        <v>380</v>
      </c>
      <c r="G70" s="24" t="s">
        <v>321</v>
      </c>
      <c r="H70" s="24">
        <v>0</v>
      </c>
      <c r="I70" s="24">
        <v>0</v>
      </c>
      <c r="J70" s="24">
        <v>2</v>
      </c>
      <c r="K70" s="24">
        <v>0</v>
      </c>
      <c r="L70" s="24">
        <v>20</v>
      </c>
      <c r="M70" s="24">
        <v>0</v>
      </c>
      <c r="N70" s="24">
        <f t="shared" si="2"/>
        <v>2</v>
      </c>
      <c r="O70" s="24">
        <f t="shared" si="3"/>
        <v>20</v>
      </c>
    </row>
    <row r="71" spans="1:15">
      <c r="A71" s="24">
        <v>68</v>
      </c>
      <c r="B71" s="24">
        <v>69</v>
      </c>
      <c r="C71" s="24" t="s">
        <v>470</v>
      </c>
      <c r="D71" s="24">
        <v>2</v>
      </c>
      <c r="E71" s="24">
        <v>1</v>
      </c>
      <c r="F71" s="24">
        <v>4</v>
      </c>
      <c r="G71" s="24" t="s">
        <v>430</v>
      </c>
      <c r="H71" s="24">
        <v>0</v>
      </c>
      <c r="I71" s="24">
        <v>0</v>
      </c>
      <c r="J71" s="24">
        <v>2</v>
      </c>
      <c r="K71" s="24">
        <v>0</v>
      </c>
      <c r="L71" s="24">
        <v>20</v>
      </c>
      <c r="M71" s="24">
        <v>0</v>
      </c>
      <c r="N71" s="24">
        <f t="shared" si="2"/>
        <v>2</v>
      </c>
      <c r="O71" s="24">
        <f t="shared" si="3"/>
        <v>20</v>
      </c>
    </row>
    <row r="72" spans="1:15">
      <c r="A72" s="24">
        <v>69</v>
      </c>
      <c r="B72" s="24">
        <v>70</v>
      </c>
      <c r="C72" s="24" t="s">
        <v>457</v>
      </c>
      <c r="D72" s="24">
        <v>34</v>
      </c>
      <c r="E72" s="24">
        <v>0</v>
      </c>
      <c r="F72" s="24">
        <v>1050</v>
      </c>
      <c r="G72" s="24" t="s">
        <v>209</v>
      </c>
      <c r="H72" s="24">
        <v>0</v>
      </c>
      <c r="I72" s="24">
        <v>0</v>
      </c>
      <c r="J72" s="24">
        <v>4</v>
      </c>
      <c r="K72" s="24">
        <v>0</v>
      </c>
      <c r="L72" s="24">
        <v>30</v>
      </c>
      <c r="M72" s="24">
        <v>0</v>
      </c>
      <c r="N72" s="24">
        <f t="shared" si="2"/>
        <v>4</v>
      </c>
      <c r="O72" s="24">
        <f t="shared" si="3"/>
        <v>30</v>
      </c>
    </row>
    <row r="73" spans="1:15">
      <c r="A73" s="24">
        <v>70</v>
      </c>
      <c r="B73" s="24">
        <v>71</v>
      </c>
      <c r="C73" s="24" t="s">
        <v>359</v>
      </c>
      <c r="D73" s="24">
        <v>3</v>
      </c>
      <c r="E73" s="24">
        <v>0</v>
      </c>
      <c r="F73" s="24">
        <v>250</v>
      </c>
      <c r="G73" s="24" t="s">
        <v>318</v>
      </c>
      <c r="H73" s="24">
        <v>0</v>
      </c>
      <c r="I73" s="24">
        <v>0</v>
      </c>
      <c r="J73" s="24">
        <v>2</v>
      </c>
      <c r="K73" s="24">
        <v>0</v>
      </c>
      <c r="L73" s="24">
        <v>20</v>
      </c>
      <c r="M73" s="24">
        <v>0</v>
      </c>
      <c r="N73" s="24">
        <f t="shared" si="2"/>
        <v>2</v>
      </c>
      <c r="O73" s="24">
        <f t="shared" si="3"/>
        <v>20</v>
      </c>
    </row>
    <row r="74" spans="1:15">
      <c r="A74" s="24">
        <v>71</v>
      </c>
      <c r="B74" s="24">
        <v>72</v>
      </c>
      <c r="C74" s="24" t="s">
        <v>360</v>
      </c>
      <c r="D74" s="24">
        <v>1007</v>
      </c>
      <c r="E74" s="24">
        <v>0</v>
      </c>
      <c r="F74" s="24">
        <v>400</v>
      </c>
      <c r="G74" s="24" t="s">
        <v>321</v>
      </c>
      <c r="H74" s="24">
        <v>0</v>
      </c>
      <c r="I74" s="24">
        <v>0</v>
      </c>
      <c r="J74" s="24">
        <v>2</v>
      </c>
      <c r="K74" s="24">
        <v>0</v>
      </c>
      <c r="L74" s="24">
        <v>20</v>
      </c>
      <c r="M74" s="24">
        <v>0</v>
      </c>
      <c r="N74" s="24">
        <f t="shared" si="2"/>
        <v>2</v>
      </c>
      <c r="O74" s="24">
        <f t="shared" si="3"/>
        <v>20</v>
      </c>
    </row>
    <row r="75" spans="1:15">
      <c r="A75" s="24">
        <v>72</v>
      </c>
      <c r="B75" s="24">
        <v>73</v>
      </c>
      <c r="C75" s="24" t="s">
        <v>458</v>
      </c>
      <c r="D75" s="24">
        <v>34</v>
      </c>
      <c r="E75" s="24">
        <v>0</v>
      </c>
      <c r="F75" s="24">
        <v>1100</v>
      </c>
      <c r="G75" s="24" t="s">
        <v>209</v>
      </c>
      <c r="H75" s="24">
        <v>0</v>
      </c>
      <c r="I75" s="24">
        <v>0</v>
      </c>
      <c r="J75" s="24">
        <v>4</v>
      </c>
      <c r="K75" s="24">
        <v>0</v>
      </c>
      <c r="L75" s="24">
        <v>30</v>
      </c>
      <c r="M75" s="24">
        <v>0</v>
      </c>
      <c r="N75" s="24">
        <f t="shared" si="2"/>
        <v>4</v>
      </c>
      <c r="O75" s="24">
        <f t="shared" si="3"/>
        <v>30</v>
      </c>
    </row>
    <row r="76" spans="1:15">
      <c r="A76" s="24">
        <v>73</v>
      </c>
      <c r="B76" s="24">
        <v>74</v>
      </c>
      <c r="C76" s="24" t="s">
        <v>361</v>
      </c>
      <c r="D76" s="24">
        <v>1007</v>
      </c>
      <c r="E76" s="24">
        <v>0</v>
      </c>
      <c r="F76" s="24">
        <v>420</v>
      </c>
      <c r="G76" s="24" t="s">
        <v>321</v>
      </c>
      <c r="H76" s="24">
        <v>0</v>
      </c>
      <c r="I76" s="24">
        <v>0</v>
      </c>
      <c r="J76" s="24">
        <v>2</v>
      </c>
      <c r="K76" s="24">
        <v>0</v>
      </c>
      <c r="L76" s="24">
        <v>20</v>
      </c>
      <c r="M76" s="24">
        <v>0</v>
      </c>
      <c r="N76" s="24">
        <f t="shared" si="2"/>
        <v>2</v>
      </c>
      <c r="O76" s="24">
        <f t="shared" si="3"/>
        <v>20</v>
      </c>
    </row>
    <row r="77" spans="1:15">
      <c r="A77" s="24">
        <v>74</v>
      </c>
      <c r="B77" s="24">
        <v>75</v>
      </c>
      <c r="C77" s="24" t="s">
        <v>362</v>
      </c>
      <c r="D77" s="24">
        <v>3</v>
      </c>
      <c r="E77" s="24">
        <v>0</v>
      </c>
      <c r="F77" s="24">
        <v>260</v>
      </c>
      <c r="G77" s="24" t="s">
        <v>318</v>
      </c>
      <c r="H77" s="24">
        <v>0</v>
      </c>
      <c r="I77" s="24">
        <v>0</v>
      </c>
      <c r="J77" s="24">
        <v>2</v>
      </c>
      <c r="K77" s="24">
        <v>0</v>
      </c>
      <c r="L77" s="24">
        <v>20</v>
      </c>
      <c r="M77" s="24">
        <v>0</v>
      </c>
      <c r="N77" s="24">
        <f t="shared" si="2"/>
        <v>2</v>
      </c>
      <c r="O77" s="24">
        <f t="shared" si="3"/>
        <v>20</v>
      </c>
    </row>
    <row r="78" spans="1:15">
      <c r="A78" s="24">
        <v>75</v>
      </c>
      <c r="B78" s="24">
        <v>76</v>
      </c>
      <c r="C78" s="24" t="s">
        <v>473</v>
      </c>
      <c r="D78" s="24">
        <v>34</v>
      </c>
      <c r="E78" s="24">
        <v>0</v>
      </c>
      <c r="F78" s="24">
        <v>1150</v>
      </c>
      <c r="G78" s="24" t="s">
        <v>209</v>
      </c>
      <c r="H78" s="24">
        <v>0</v>
      </c>
      <c r="I78" s="24">
        <v>0</v>
      </c>
      <c r="J78" s="24">
        <v>4</v>
      </c>
      <c r="K78" s="24">
        <v>0</v>
      </c>
      <c r="L78" s="24">
        <v>30</v>
      </c>
      <c r="M78" s="24">
        <v>0</v>
      </c>
      <c r="N78" s="24">
        <f t="shared" si="2"/>
        <v>4</v>
      </c>
      <c r="O78" s="24">
        <f t="shared" si="3"/>
        <v>30</v>
      </c>
    </row>
    <row r="79" spans="1:15">
      <c r="A79" s="24">
        <v>76</v>
      </c>
      <c r="B79" s="24">
        <v>77</v>
      </c>
      <c r="C79" s="24" t="s">
        <v>363</v>
      </c>
      <c r="D79" s="24">
        <v>1007</v>
      </c>
      <c r="E79" s="24">
        <v>0</v>
      </c>
      <c r="F79" s="24">
        <v>440</v>
      </c>
      <c r="G79" s="24" t="s">
        <v>321</v>
      </c>
      <c r="H79" s="24">
        <v>0</v>
      </c>
      <c r="I79" s="24">
        <v>0</v>
      </c>
      <c r="J79" s="24">
        <v>2</v>
      </c>
      <c r="K79" s="24">
        <v>0</v>
      </c>
      <c r="L79" s="24">
        <v>20</v>
      </c>
      <c r="M79" s="24">
        <v>0</v>
      </c>
      <c r="N79" s="24">
        <f t="shared" si="2"/>
        <v>2</v>
      </c>
      <c r="O79" s="24">
        <f t="shared" si="3"/>
        <v>20</v>
      </c>
    </row>
    <row r="80" spans="1:15">
      <c r="A80" s="24">
        <v>77</v>
      </c>
      <c r="B80" s="24">
        <v>78</v>
      </c>
      <c r="C80" s="24" t="s">
        <v>364</v>
      </c>
      <c r="D80" s="24">
        <v>3</v>
      </c>
      <c r="E80" s="24">
        <v>0</v>
      </c>
      <c r="F80" s="24">
        <v>270</v>
      </c>
      <c r="G80" s="24" t="s">
        <v>318</v>
      </c>
      <c r="H80" s="24">
        <v>0</v>
      </c>
      <c r="I80" s="24">
        <v>0</v>
      </c>
      <c r="J80" s="24">
        <v>2</v>
      </c>
      <c r="K80" s="24">
        <v>0</v>
      </c>
      <c r="L80" s="24">
        <v>20</v>
      </c>
      <c r="M80" s="24">
        <v>0</v>
      </c>
      <c r="N80" s="24">
        <f t="shared" si="2"/>
        <v>2</v>
      </c>
      <c r="O80" s="24">
        <f t="shared" si="3"/>
        <v>20</v>
      </c>
    </row>
    <row r="81" spans="1:15">
      <c r="A81" s="24">
        <v>78</v>
      </c>
      <c r="B81" s="24">
        <v>79</v>
      </c>
      <c r="C81" s="24" t="s">
        <v>459</v>
      </c>
      <c r="D81" s="24">
        <v>34</v>
      </c>
      <c r="E81" s="24">
        <v>0</v>
      </c>
      <c r="F81" s="24">
        <v>1200</v>
      </c>
      <c r="G81" s="24" t="s">
        <v>209</v>
      </c>
      <c r="H81" s="24">
        <v>0</v>
      </c>
      <c r="I81" s="24">
        <v>0</v>
      </c>
      <c r="J81" s="24">
        <v>4</v>
      </c>
      <c r="K81" s="24">
        <v>0</v>
      </c>
      <c r="L81" s="24">
        <v>30</v>
      </c>
      <c r="M81" s="24">
        <v>0</v>
      </c>
      <c r="N81" s="24">
        <f t="shared" si="2"/>
        <v>4</v>
      </c>
      <c r="O81" s="24">
        <f t="shared" si="3"/>
        <v>30</v>
      </c>
    </row>
    <row r="82" spans="1:15">
      <c r="A82" s="24">
        <v>79</v>
      </c>
      <c r="B82" s="24">
        <v>80</v>
      </c>
      <c r="C82" s="24" t="s">
        <v>365</v>
      </c>
      <c r="D82" s="24">
        <v>1007</v>
      </c>
      <c r="E82" s="24">
        <v>0</v>
      </c>
      <c r="F82" s="24">
        <v>460</v>
      </c>
      <c r="G82" s="24" t="s">
        <v>321</v>
      </c>
      <c r="H82" s="24">
        <v>0</v>
      </c>
      <c r="I82" s="24">
        <v>0</v>
      </c>
      <c r="J82" s="24">
        <v>2</v>
      </c>
      <c r="K82" s="24">
        <v>0</v>
      </c>
      <c r="L82" s="24">
        <v>20</v>
      </c>
      <c r="M82" s="24">
        <v>0</v>
      </c>
      <c r="N82" s="24">
        <f t="shared" si="2"/>
        <v>2</v>
      </c>
      <c r="O82" s="24">
        <f t="shared" si="3"/>
        <v>20</v>
      </c>
    </row>
    <row r="83" spans="1:15">
      <c r="A83" s="24">
        <v>80</v>
      </c>
      <c r="B83" s="24">
        <v>81</v>
      </c>
      <c r="C83" s="24" t="s">
        <v>366</v>
      </c>
      <c r="D83" s="24">
        <v>3</v>
      </c>
      <c r="E83" s="24">
        <v>0</v>
      </c>
      <c r="F83" s="24">
        <v>280</v>
      </c>
      <c r="G83" s="24" t="s">
        <v>318</v>
      </c>
      <c r="H83" s="24">
        <v>0</v>
      </c>
      <c r="I83" s="24">
        <v>0</v>
      </c>
      <c r="J83" s="24">
        <v>2</v>
      </c>
      <c r="K83" s="24">
        <v>0</v>
      </c>
      <c r="L83" s="24">
        <v>20</v>
      </c>
      <c r="M83" s="24">
        <v>0</v>
      </c>
      <c r="N83" s="24">
        <f t="shared" si="2"/>
        <v>2</v>
      </c>
      <c r="O83" s="24">
        <f t="shared" si="3"/>
        <v>20</v>
      </c>
    </row>
    <row r="84" spans="1:15">
      <c r="A84" s="24">
        <v>81</v>
      </c>
      <c r="B84" s="24">
        <v>82</v>
      </c>
      <c r="C84" s="24" t="s">
        <v>474</v>
      </c>
      <c r="D84" s="24">
        <v>34</v>
      </c>
      <c r="E84" s="24">
        <v>0</v>
      </c>
      <c r="F84" s="24">
        <v>1250</v>
      </c>
      <c r="G84" s="24" t="s">
        <v>209</v>
      </c>
      <c r="H84" s="24">
        <v>0</v>
      </c>
      <c r="I84" s="24">
        <v>0</v>
      </c>
      <c r="J84" s="24">
        <v>4</v>
      </c>
      <c r="K84" s="24">
        <v>0</v>
      </c>
      <c r="L84" s="24">
        <v>30</v>
      </c>
      <c r="M84" s="24">
        <v>0</v>
      </c>
      <c r="N84" s="24">
        <f t="shared" si="2"/>
        <v>4</v>
      </c>
      <c r="O84" s="24">
        <f t="shared" si="3"/>
        <v>30</v>
      </c>
    </row>
    <row r="85" spans="1:15">
      <c r="A85" s="24">
        <v>82</v>
      </c>
      <c r="B85" s="24">
        <v>83</v>
      </c>
      <c r="C85" s="31" t="s">
        <v>367</v>
      </c>
      <c r="D85" s="24">
        <v>1007</v>
      </c>
      <c r="E85" s="24">
        <v>0</v>
      </c>
      <c r="F85" s="24">
        <v>480</v>
      </c>
      <c r="G85" s="24" t="s">
        <v>321</v>
      </c>
      <c r="H85" s="24">
        <v>0</v>
      </c>
      <c r="I85" s="24">
        <v>0</v>
      </c>
      <c r="J85" s="24">
        <v>2</v>
      </c>
      <c r="K85" s="24">
        <v>0</v>
      </c>
      <c r="L85" s="24">
        <v>20</v>
      </c>
      <c r="M85" s="24">
        <v>0</v>
      </c>
      <c r="N85" s="24">
        <f t="shared" si="2"/>
        <v>2</v>
      </c>
      <c r="O85" s="24">
        <f t="shared" si="3"/>
        <v>20</v>
      </c>
    </row>
    <row r="86" spans="1:15">
      <c r="A86" s="24">
        <v>83</v>
      </c>
      <c r="B86" s="24">
        <v>84</v>
      </c>
      <c r="C86" s="24" t="s">
        <v>471</v>
      </c>
      <c r="D86" s="24">
        <v>2</v>
      </c>
      <c r="E86" s="24">
        <v>1</v>
      </c>
      <c r="F86" s="24">
        <v>5</v>
      </c>
      <c r="G86" s="24" t="s">
        <v>430</v>
      </c>
      <c r="H86" s="24">
        <v>0</v>
      </c>
      <c r="I86" s="24">
        <v>0</v>
      </c>
      <c r="J86" s="24">
        <v>2</v>
      </c>
      <c r="K86" s="24">
        <v>0</v>
      </c>
      <c r="L86" s="24">
        <v>20</v>
      </c>
      <c r="M86" s="24">
        <v>0</v>
      </c>
      <c r="N86" s="24">
        <f t="shared" si="2"/>
        <v>2</v>
      </c>
      <c r="O86" s="24">
        <f t="shared" si="3"/>
        <v>20</v>
      </c>
    </row>
    <row r="87" spans="1:15">
      <c r="A87" s="24">
        <v>84</v>
      </c>
      <c r="B87" s="24">
        <v>85</v>
      </c>
      <c r="C87" s="24" t="s">
        <v>460</v>
      </c>
      <c r="D87" s="24">
        <v>34</v>
      </c>
      <c r="E87" s="24">
        <v>0</v>
      </c>
      <c r="F87" s="24">
        <v>1300</v>
      </c>
      <c r="G87" s="24" t="s">
        <v>209</v>
      </c>
      <c r="H87" s="24">
        <v>0</v>
      </c>
      <c r="I87" s="24">
        <v>0</v>
      </c>
      <c r="J87" s="24">
        <v>4</v>
      </c>
      <c r="K87" s="24">
        <v>0</v>
      </c>
      <c r="L87" s="24">
        <v>30</v>
      </c>
      <c r="M87" s="24">
        <v>0</v>
      </c>
      <c r="N87" s="24">
        <f t="shared" si="2"/>
        <v>4</v>
      </c>
      <c r="O87" s="24">
        <f t="shared" si="3"/>
        <v>30</v>
      </c>
    </row>
    <row r="88" spans="1:15">
      <c r="A88" s="24">
        <v>85</v>
      </c>
      <c r="B88" s="24">
        <v>86</v>
      </c>
      <c r="C88" s="24" t="s">
        <v>368</v>
      </c>
      <c r="D88" s="24">
        <v>1007</v>
      </c>
      <c r="E88" s="24">
        <v>0</v>
      </c>
      <c r="F88" s="24">
        <v>500</v>
      </c>
      <c r="G88" s="24" t="s">
        <v>321</v>
      </c>
      <c r="H88" s="24">
        <v>0</v>
      </c>
      <c r="I88" s="24">
        <v>0</v>
      </c>
      <c r="J88" s="24">
        <v>2</v>
      </c>
      <c r="K88" s="24">
        <v>0</v>
      </c>
      <c r="L88" s="24">
        <v>20</v>
      </c>
      <c r="M88" s="24">
        <v>0</v>
      </c>
      <c r="N88" s="24">
        <f t="shared" si="2"/>
        <v>2</v>
      </c>
      <c r="O88" s="24">
        <f t="shared" si="3"/>
        <v>20</v>
      </c>
    </row>
    <row r="89" spans="1:15">
      <c r="A89" s="24">
        <v>86</v>
      </c>
      <c r="B89" s="24">
        <v>87</v>
      </c>
      <c r="C89" s="24" t="s">
        <v>475</v>
      </c>
      <c r="D89" s="24">
        <v>34</v>
      </c>
      <c r="E89" s="24">
        <v>0</v>
      </c>
      <c r="F89" s="24">
        <v>1350</v>
      </c>
      <c r="G89" s="24" t="s">
        <v>209</v>
      </c>
      <c r="H89" s="24">
        <v>0</v>
      </c>
      <c r="I89" s="24">
        <v>0</v>
      </c>
      <c r="J89" s="24">
        <v>4</v>
      </c>
      <c r="K89" s="24">
        <v>0</v>
      </c>
      <c r="L89" s="24">
        <v>30</v>
      </c>
      <c r="M89" s="24">
        <v>0</v>
      </c>
      <c r="N89" s="24">
        <f t="shared" si="2"/>
        <v>4</v>
      </c>
      <c r="O89" s="24">
        <f t="shared" si="3"/>
        <v>30</v>
      </c>
    </row>
    <row r="90" spans="1:15">
      <c r="A90" s="24">
        <v>87</v>
      </c>
      <c r="B90" s="24">
        <v>88</v>
      </c>
      <c r="C90" s="24" t="s">
        <v>369</v>
      </c>
      <c r="D90" s="24">
        <v>3</v>
      </c>
      <c r="E90" s="24">
        <v>0</v>
      </c>
      <c r="F90" s="24">
        <v>290</v>
      </c>
      <c r="G90" s="24" t="s">
        <v>318</v>
      </c>
      <c r="H90" s="24">
        <v>0</v>
      </c>
      <c r="I90" s="24">
        <v>0</v>
      </c>
      <c r="J90" s="24">
        <v>2</v>
      </c>
      <c r="K90" s="24">
        <v>0</v>
      </c>
      <c r="L90" s="24">
        <v>20</v>
      </c>
      <c r="M90" s="24">
        <v>0</v>
      </c>
      <c r="N90" s="24">
        <f t="shared" si="2"/>
        <v>2</v>
      </c>
      <c r="O90" s="24">
        <f t="shared" si="3"/>
        <v>20</v>
      </c>
    </row>
    <row r="91" spans="1:15">
      <c r="A91" s="24">
        <v>88</v>
      </c>
      <c r="B91" s="24">
        <v>89</v>
      </c>
      <c r="C91" s="24" t="s">
        <v>461</v>
      </c>
      <c r="D91" s="24">
        <v>34</v>
      </c>
      <c r="E91" s="24">
        <v>0</v>
      </c>
      <c r="F91" s="24">
        <v>1400</v>
      </c>
      <c r="G91" s="24" t="s">
        <v>209</v>
      </c>
      <c r="H91" s="24">
        <v>0</v>
      </c>
      <c r="I91" s="24">
        <v>0</v>
      </c>
      <c r="J91" s="24">
        <v>4</v>
      </c>
      <c r="K91" s="24">
        <v>0</v>
      </c>
      <c r="L91" s="24">
        <v>30</v>
      </c>
      <c r="M91" s="24">
        <v>0</v>
      </c>
      <c r="N91" s="24">
        <f t="shared" si="2"/>
        <v>4</v>
      </c>
      <c r="O91" s="24">
        <f t="shared" si="3"/>
        <v>30</v>
      </c>
    </row>
    <row r="92" spans="1:15">
      <c r="A92" s="24">
        <v>89</v>
      </c>
      <c r="B92" s="24">
        <v>90</v>
      </c>
      <c r="C92" s="24" t="s">
        <v>370</v>
      </c>
      <c r="D92" s="24">
        <v>1007</v>
      </c>
      <c r="E92" s="24">
        <v>0</v>
      </c>
      <c r="F92" s="24">
        <v>520</v>
      </c>
      <c r="G92" s="24" t="s">
        <v>321</v>
      </c>
      <c r="H92" s="24">
        <v>0</v>
      </c>
      <c r="I92" s="24">
        <v>0</v>
      </c>
      <c r="J92" s="24">
        <v>2</v>
      </c>
      <c r="K92" s="24">
        <v>0</v>
      </c>
      <c r="L92" s="24">
        <v>20</v>
      </c>
      <c r="M92" s="24">
        <v>0</v>
      </c>
      <c r="N92" s="24">
        <f t="shared" si="2"/>
        <v>2</v>
      </c>
      <c r="O92" s="24">
        <f t="shared" si="3"/>
        <v>20</v>
      </c>
    </row>
    <row r="93" spans="1:15">
      <c r="A93" s="24">
        <v>90</v>
      </c>
      <c r="B93" s="24">
        <v>91</v>
      </c>
      <c r="C93" s="24" t="s">
        <v>476</v>
      </c>
      <c r="D93" s="24">
        <v>34</v>
      </c>
      <c r="E93" s="24">
        <v>0</v>
      </c>
      <c r="F93" s="24">
        <v>1450</v>
      </c>
      <c r="G93" s="24" t="s">
        <v>209</v>
      </c>
      <c r="H93" s="24">
        <v>0</v>
      </c>
      <c r="I93" s="24">
        <v>0</v>
      </c>
      <c r="J93" s="24">
        <v>4</v>
      </c>
      <c r="K93" s="24">
        <v>0</v>
      </c>
      <c r="L93" s="24">
        <v>30</v>
      </c>
      <c r="M93" s="24">
        <v>0</v>
      </c>
      <c r="N93" s="24">
        <f t="shared" si="2"/>
        <v>4</v>
      </c>
      <c r="O93" s="24">
        <f t="shared" si="3"/>
        <v>30</v>
      </c>
    </row>
    <row r="94" spans="1:15">
      <c r="A94" s="24">
        <v>91</v>
      </c>
      <c r="B94" s="24">
        <v>92</v>
      </c>
      <c r="C94" s="24" t="s">
        <v>371</v>
      </c>
      <c r="D94" s="24">
        <v>1007</v>
      </c>
      <c r="E94" s="24">
        <v>0</v>
      </c>
      <c r="F94" s="24">
        <v>540</v>
      </c>
      <c r="G94" s="24" t="s">
        <v>321</v>
      </c>
      <c r="H94" s="24">
        <v>0</v>
      </c>
      <c r="I94" s="24">
        <v>0</v>
      </c>
      <c r="J94" s="24">
        <v>2</v>
      </c>
      <c r="K94" s="24">
        <v>0</v>
      </c>
      <c r="L94" s="24">
        <v>20</v>
      </c>
      <c r="M94" s="24">
        <v>0</v>
      </c>
      <c r="N94" s="24">
        <f t="shared" si="2"/>
        <v>2</v>
      </c>
      <c r="O94" s="24">
        <f t="shared" si="3"/>
        <v>20</v>
      </c>
    </row>
    <row r="95" spans="1:15">
      <c r="A95" s="24">
        <v>92</v>
      </c>
      <c r="B95" s="24">
        <v>93</v>
      </c>
      <c r="C95" s="24" t="s">
        <v>372</v>
      </c>
      <c r="D95" s="24">
        <v>3</v>
      </c>
      <c r="E95" s="24">
        <v>0</v>
      </c>
      <c r="F95" s="24">
        <v>300</v>
      </c>
      <c r="G95" s="24" t="s">
        <v>318</v>
      </c>
      <c r="H95" s="24">
        <v>0</v>
      </c>
      <c r="I95" s="24">
        <v>0</v>
      </c>
      <c r="J95" s="24">
        <v>2</v>
      </c>
      <c r="K95" s="24">
        <v>0</v>
      </c>
      <c r="L95" s="24">
        <v>20</v>
      </c>
      <c r="M95" s="24">
        <v>0</v>
      </c>
      <c r="N95" s="24">
        <f t="shared" si="2"/>
        <v>2</v>
      </c>
      <c r="O95" s="24">
        <f t="shared" si="3"/>
        <v>20</v>
      </c>
    </row>
    <row r="96" spans="1:15">
      <c r="A96" s="24">
        <v>93</v>
      </c>
      <c r="B96" s="24">
        <v>94</v>
      </c>
      <c r="C96" s="24" t="s">
        <v>373</v>
      </c>
      <c r="D96" s="24">
        <v>8</v>
      </c>
      <c r="E96" s="24">
        <v>0</v>
      </c>
      <c r="F96" s="24">
        <v>3</v>
      </c>
      <c r="G96" s="24" t="s">
        <v>52</v>
      </c>
      <c r="H96" s="24">
        <v>0</v>
      </c>
      <c r="I96" s="24">
        <v>0</v>
      </c>
      <c r="J96" s="24">
        <v>2</v>
      </c>
      <c r="K96" s="24">
        <v>0</v>
      </c>
      <c r="L96" s="24">
        <v>20</v>
      </c>
      <c r="M96" s="24">
        <v>0</v>
      </c>
      <c r="N96" s="24">
        <f t="shared" si="2"/>
        <v>2</v>
      </c>
      <c r="O96" s="24">
        <f t="shared" si="3"/>
        <v>20</v>
      </c>
    </row>
    <row r="97" spans="1:15">
      <c r="A97" s="24">
        <v>94</v>
      </c>
      <c r="B97" s="24">
        <v>95</v>
      </c>
      <c r="C97" s="24" t="s">
        <v>374</v>
      </c>
      <c r="D97" s="24">
        <v>1007</v>
      </c>
      <c r="E97" s="24">
        <v>0</v>
      </c>
      <c r="F97" s="24">
        <v>560</v>
      </c>
      <c r="G97" s="24" t="s">
        <v>321</v>
      </c>
      <c r="H97" s="24">
        <v>0</v>
      </c>
      <c r="I97" s="24">
        <v>0</v>
      </c>
      <c r="J97" s="24">
        <v>2</v>
      </c>
      <c r="K97" s="24">
        <v>0</v>
      </c>
      <c r="L97" s="24">
        <v>20</v>
      </c>
      <c r="M97" s="24">
        <v>0</v>
      </c>
      <c r="N97" s="24">
        <f t="shared" si="2"/>
        <v>2</v>
      </c>
      <c r="O97" s="24">
        <f t="shared" si="3"/>
        <v>20</v>
      </c>
    </row>
    <row r="98" spans="1:15">
      <c r="A98" s="24">
        <v>95</v>
      </c>
      <c r="B98" s="24">
        <v>96</v>
      </c>
      <c r="C98" s="24" t="s">
        <v>462</v>
      </c>
      <c r="D98" s="24">
        <v>34</v>
      </c>
      <c r="E98" s="24">
        <v>0</v>
      </c>
      <c r="F98" s="24">
        <v>1500</v>
      </c>
      <c r="G98" s="24" t="s">
        <v>209</v>
      </c>
      <c r="H98" s="24">
        <v>0</v>
      </c>
      <c r="I98" s="24">
        <v>0</v>
      </c>
      <c r="J98" s="24">
        <v>4</v>
      </c>
      <c r="K98" s="24">
        <v>0</v>
      </c>
      <c r="L98" s="24">
        <v>30</v>
      </c>
      <c r="M98" s="24">
        <v>0</v>
      </c>
      <c r="N98" s="24">
        <f t="shared" si="2"/>
        <v>4</v>
      </c>
      <c r="O98" s="24">
        <f t="shared" si="3"/>
        <v>30</v>
      </c>
    </row>
    <row r="99" spans="1:15">
      <c r="A99" s="24">
        <v>96</v>
      </c>
      <c r="B99" s="24">
        <v>97</v>
      </c>
      <c r="C99" s="24" t="s">
        <v>375</v>
      </c>
      <c r="D99" s="24">
        <v>1007</v>
      </c>
      <c r="E99" s="24">
        <v>0</v>
      </c>
      <c r="F99" s="24">
        <v>580</v>
      </c>
      <c r="G99" s="24" t="s">
        <v>321</v>
      </c>
      <c r="H99" s="24">
        <v>0</v>
      </c>
      <c r="I99" s="24">
        <v>0</v>
      </c>
      <c r="J99" s="24">
        <v>2</v>
      </c>
      <c r="K99" s="24">
        <v>0</v>
      </c>
      <c r="L99" s="24">
        <v>20</v>
      </c>
      <c r="M99" s="24">
        <v>0</v>
      </c>
      <c r="N99" s="24">
        <f t="shared" si="2"/>
        <v>2</v>
      </c>
      <c r="O99" s="24">
        <f t="shared" si="3"/>
        <v>20</v>
      </c>
    </row>
    <row r="100" spans="1:15">
      <c r="A100" s="24">
        <v>97</v>
      </c>
      <c r="B100" s="24">
        <v>98</v>
      </c>
      <c r="C100" s="24" t="s">
        <v>477</v>
      </c>
      <c r="D100" s="24">
        <v>34</v>
      </c>
      <c r="E100" s="24">
        <v>0</v>
      </c>
      <c r="F100" s="24">
        <v>1550</v>
      </c>
      <c r="G100" s="24" t="s">
        <v>209</v>
      </c>
      <c r="H100" s="24">
        <v>0</v>
      </c>
      <c r="I100" s="24">
        <v>0</v>
      </c>
      <c r="J100" s="24">
        <v>4</v>
      </c>
      <c r="K100" s="24">
        <v>0</v>
      </c>
      <c r="L100" s="24">
        <v>30</v>
      </c>
      <c r="M100" s="24">
        <v>0</v>
      </c>
      <c r="N100" s="24">
        <f t="shared" si="2"/>
        <v>4</v>
      </c>
      <c r="O100" s="24">
        <f t="shared" si="3"/>
        <v>30</v>
      </c>
    </row>
    <row r="101" spans="1:15" ht="16.5">
      <c r="A101" s="24">
        <v>98</v>
      </c>
      <c r="B101" s="24">
        <v>99</v>
      </c>
      <c r="C101" s="32" t="s">
        <v>376</v>
      </c>
      <c r="D101" s="24">
        <v>1007</v>
      </c>
      <c r="E101" s="24">
        <v>0</v>
      </c>
      <c r="F101" s="24">
        <v>600</v>
      </c>
      <c r="G101" s="24" t="s">
        <v>321</v>
      </c>
      <c r="H101" s="24">
        <v>0</v>
      </c>
      <c r="I101" s="24">
        <v>0</v>
      </c>
      <c r="J101" s="24">
        <v>2</v>
      </c>
      <c r="K101" s="24">
        <v>0</v>
      </c>
      <c r="L101" s="24">
        <v>20</v>
      </c>
      <c r="M101" s="24">
        <v>0</v>
      </c>
      <c r="N101" s="24">
        <f t="shared" si="2"/>
        <v>2</v>
      </c>
      <c r="O101" s="24">
        <f t="shared" si="3"/>
        <v>20</v>
      </c>
    </row>
    <row r="102" spans="1:15">
      <c r="A102" s="24">
        <v>99</v>
      </c>
      <c r="B102" s="24">
        <v>100</v>
      </c>
      <c r="C102" s="24" t="s">
        <v>472</v>
      </c>
      <c r="D102" s="24">
        <v>2</v>
      </c>
      <c r="E102" s="24">
        <v>2</v>
      </c>
      <c r="F102" s="24">
        <v>1</v>
      </c>
      <c r="G102" s="24" t="s">
        <v>430</v>
      </c>
      <c r="H102" s="24">
        <v>0</v>
      </c>
      <c r="I102" s="24">
        <v>0</v>
      </c>
      <c r="J102" s="24">
        <v>2</v>
      </c>
      <c r="K102" s="24">
        <v>0</v>
      </c>
      <c r="L102" s="24">
        <v>20</v>
      </c>
      <c r="M102" s="24">
        <v>0</v>
      </c>
      <c r="N102" s="24">
        <f t="shared" si="2"/>
        <v>2</v>
      </c>
      <c r="O102" s="24">
        <f t="shared" si="3"/>
        <v>20</v>
      </c>
    </row>
    <row r="103" spans="1:15">
      <c r="A103" s="24">
        <v>100</v>
      </c>
      <c r="B103" s="24">
        <v>101</v>
      </c>
      <c r="C103" s="24" t="s">
        <v>372</v>
      </c>
      <c r="D103" s="24">
        <v>3</v>
      </c>
      <c r="E103" s="24">
        <v>0</v>
      </c>
      <c r="F103" s="24">
        <v>300</v>
      </c>
      <c r="G103" s="24" t="s">
        <v>318</v>
      </c>
      <c r="H103" s="24">
        <v>0</v>
      </c>
      <c r="I103" s="24">
        <v>0</v>
      </c>
      <c r="J103" s="24">
        <v>2</v>
      </c>
      <c r="K103" s="24">
        <v>0</v>
      </c>
      <c r="L103" s="24">
        <v>20</v>
      </c>
      <c r="M103" s="24">
        <v>0</v>
      </c>
      <c r="N103" s="24">
        <f t="shared" si="2"/>
        <v>2</v>
      </c>
      <c r="O103" s="24">
        <f t="shared" si="3"/>
        <v>20</v>
      </c>
    </row>
    <row r="104" spans="1:15">
      <c r="A104" s="24">
        <v>101</v>
      </c>
      <c r="B104" s="24">
        <v>102</v>
      </c>
      <c r="C104" s="24" t="s">
        <v>377</v>
      </c>
      <c r="D104" s="24">
        <v>1007</v>
      </c>
      <c r="E104" s="24">
        <v>0</v>
      </c>
      <c r="F104" s="24">
        <v>620</v>
      </c>
      <c r="G104" s="24" t="s">
        <v>321</v>
      </c>
      <c r="H104" s="24">
        <v>0</v>
      </c>
      <c r="I104" s="24">
        <v>0</v>
      </c>
      <c r="J104" s="24">
        <v>2</v>
      </c>
      <c r="K104" s="24">
        <v>0</v>
      </c>
      <c r="L104" s="24">
        <v>20</v>
      </c>
      <c r="M104" s="24">
        <v>0</v>
      </c>
      <c r="N104" s="24">
        <f t="shared" si="2"/>
        <v>2</v>
      </c>
      <c r="O104" s="24">
        <f t="shared" si="3"/>
        <v>20</v>
      </c>
    </row>
    <row r="105" spans="1:15">
      <c r="A105" s="24">
        <v>102</v>
      </c>
      <c r="B105" s="24">
        <v>103</v>
      </c>
      <c r="C105" s="24" t="s">
        <v>463</v>
      </c>
      <c r="D105" s="24">
        <v>34</v>
      </c>
      <c r="E105" s="24">
        <v>0</v>
      </c>
      <c r="F105" s="24">
        <v>1600</v>
      </c>
      <c r="G105" s="24" t="s">
        <v>209</v>
      </c>
      <c r="H105" s="24">
        <v>0</v>
      </c>
      <c r="I105" s="24">
        <v>0</v>
      </c>
      <c r="J105" s="24">
        <v>4</v>
      </c>
      <c r="K105" s="24">
        <v>0</v>
      </c>
      <c r="L105" s="24">
        <v>30</v>
      </c>
      <c r="M105" s="24">
        <v>0</v>
      </c>
      <c r="N105" s="24">
        <f t="shared" si="2"/>
        <v>4</v>
      </c>
      <c r="O105" s="24">
        <f t="shared" si="3"/>
        <v>30</v>
      </c>
    </row>
    <row r="106" spans="1:15">
      <c r="A106" s="24">
        <v>103</v>
      </c>
      <c r="B106" s="24">
        <v>104</v>
      </c>
      <c r="C106" s="24" t="s">
        <v>378</v>
      </c>
      <c r="D106" s="24">
        <v>8</v>
      </c>
      <c r="E106" s="24">
        <v>0</v>
      </c>
      <c r="F106" s="24">
        <v>4</v>
      </c>
      <c r="G106" s="24" t="s">
        <v>52</v>
      </c>
      <c r="H106" s="24">
        <v>0</v>
      </c>
      <c r="I106" s="24">
        <v>0</v>
      </c>
      <c r="J106" s="24">
        <v>2</v>
      </c>
      <c r="K106" s="24">
        <v>0</v>
      </c>
      <c r="L106" s="24">
        <v>20</v>
      </c>
      <c r="M106" s="24">
        <v>0</v>
      </c>
      <c r="N106" s="24">
        <f t="shared" si="2"/>
        <v>2</v>
      </c>
      <c r="O106" s="24">
        <f t="shared" si="3"/>
        <v>20</v>
      </c>
    </row>
    <row r="107" spans="1:15">
      <c r="A107" s="24">
        <v>104</v>
      </c>
      <c r="B107" s="24">
        <v>105</v>
      </c>
      <c r="C107" s="24" t="s">
        <v>379</v>
      </c>
      <c r="D107" s="24">
        <v>1007</v>
      </c>
      <c r="E107" s="24">
        <v>0</v>
      </c>
      <c r="F107" s="24">
        <v>640</v>
      </c>
      <c r="G107" s="24" t="s">
        <v>321</v>
      </c>
      <c r="H107" s="24">
        <v>0</v>
      </c>
      <c r="I107" s="24">
        <v>0</v>
      </c>
      <c r="J107" s="24">
        <v>2</v>
      </c>
      <c r="K107" s="24">
        <v>0</v>
      </c>
      <c r="L107" s="24">
        <v>20</v>
      </c>
      <c r="M107" s="24">
        <v>0</v>
      </c>
      <c r="N107" s="24">
        <f t="shared" si="2"/>
        <v>2</v>
      </c>
      <c r="O107" s="24">
        <f t="shared" si="3"/>
        <v>20</v>
      </c>
    </row>
    <row r="108" spans="1:15">
      <c r="A108" s="24">
        <v>105</v>
      </c>
      <c r="B108" s="24">
        <v>106</v>
      </c>
      <c r="C108" s="24" t="s">
        <v>380</v>
      </c>
      <c r="D108" s="24">
        <v>3</v>
      </c>
      <c r="E108" s="24">
        <v>0</v>
      </c>
      <c r="F108" s="24">
        <v>310</v>
      </c>
      <c r="G108" s="24" t="s">
        <v>318</v>
      </c>
      <c r="H108" s="24">
        <v>0</v>
      </c>
      <c r="I108" s="24">
        <v>0</v>
      </c>
      <c r="J108" s="24">
        <v>2</v>
      </c>
      <c r="K108" s="24">
        <v>0</v>
      </c>
      <c r="L108" s="24">
        <v>20</v>
      </c>
      <c r="M108" s="24">
        <v>0</v>
      </c>
      <c r="N108" s="24">
        <f t="shared" si="2"/>
        <v>2</v>
      </c>
      <c r="O108" s="24">
        <f t="shared" si="3"/>
        <v>20</v>
      </c>
    </row>
    <row r="109" spans="1:15">
      <c r="A109" s="24">
        <v>106</v>
      </c>
      <c r="B109" s="24">
        <v>107</v>
      </c>
      <c r="C109" s="24" t="s">
        <v>478</v>
      </c>
      <c r="D109" s="24">
        <v>34</v>
      </c>
      <c r="E109" s="24">
        <v>0</v>
      </c>
      <c r="F109" s="24">
        <v>1650</v>
      </c>
      <c r="G109" s="24" t="s">
        <v>209</v>
      </c>
      <c r="H109" s="24">
        <v>0</v>
      </c>
      <c r="I109" s="24">
        <v>0</v>
      </c>
      <c r="J109" s="24">
        <v>4</v>
      </c>
      <c r="K109" s="24">
        <v>0</v>
      </c>
      <c r="L109" s="24">
        <v>30</v>
      </c>
      <c r="M109" s="24">
        <v>0</v>
      </c>
      <c r="N109" s="24">
        <f t="shared" si="2"/>
        <v>4</v>
      </c>
      <c r="O109" s="24">
        <f t="shared" si="3"/>
        <v>30</v>
      </c>
    </row>
    <row r="110" spans="1:15">
      <c r="A110" s="24">
        <v>107</v>
      </c>
      <c r="B110" s="24">
        <v>108</v>
      </c>
      <c r="C110" s="24" t="s">
        <v>381</v>
      </c>
      <c r="D110" s="24">
        <v>1007</v>
      </c>
      <c r="E110" s="24">
        <v>0</v>
      </c>
      <c r="F110" s="24">
        <v>660</v>
      </c>
      <c r="G110" s="24" t="s">
        <v>321</v>
      </c>
      <c r="H110" s="24">
        <v>0</v>
      </c>
      <c r="I110" s="24">
        <v>0</v>
      </c>
      <c r="J110" s="24">
        <v>2</v>
      </c>
      <c r="K110" s="24">
        <v>0</v>
      </c>
      <c r="L110" s="24">
        <v>20</v>
      </c>
      <c r="M110" s="24">
        <v>0</v>
      </c>
      <c r="N110" s="24">
        <f t="shared" si="2"/>
        <v>2</v>
      </c>
      <c r="O110" s="24">
        <f t="shared" si="3"/>
        <v>20</v>
      </c>
    </row>
    <row r="111" spans="1:15">
      <c r="A111" s="24">
        <v>108</v>
      </c>
      <c r="B111" s="24">
        <v>109</v>
      </c>
      <c r="C111" s="24" t="s">
        <v>464</v>
      </c>
      <c r="D111" s="24">
        <v>34</v>
      </c>
      <c r="E111" s="24">
        <v>0</v>
      </c>
      <c r="F111" s="24">
        <v>1700</v>
      </c>
      <c r="G111" s="24" t="s">
        <v>209</v>
      </c>
      <c r="H111" s="24">
        <v>0</v>
      </c>
      <c r="I111" s="24">
        <v>0</v>
      </c>
      <c r="J111" s="24">
        <v>4</v>
      </c>
      <c r="K111" s="24">
        <v>0</v>
      </c>
      <c r="L111" s="24">
        <v>30</v>
      </c>
      <c r="M111" s="24">
        <v>0</v>
      </c>
      <c r="N111" s="24">
        <f t="shared" si="2"/>
        <v>4</v>
      </c>
      <c r="O111" s="24">
        <f t="shared" si="3"/>
        <v>30</v>
      </c>
    </row>
    <row r="112" spans="1:15">
      <c r="A112" s="24">
        <v>109</v>
      </c>
      <c r="B112" s="24">
        <v>110</v>
      </c>
      <c r="C112" s="24" t="s">
        <v>382</v>
      </c>
      <c r="D112" s="24">
        <v>3</v>
      </c>
      <c r="E112" s="24">
        <v>0</v>
      </c>
      <c r="F112" s="24">
        <v>320</v>
      </c>
      <c r="G112" s="24" t="s">
        <v>318</v>
      </c>
      <c r="H112" s="24">
        <v>0</v>
      </c>
      <c r="I112" s="24">
        <v>0</v>
      </c>
      <c r="J112" s="24">
        <v>2</v>
      </c>
      <c r="K112" s="24">
        <v>0</v>
      </c>
      <c r="L112" s="24">
        <v>20</v>
      </c>
      <c r="M112" s="24">
        <v>0</v>
      </c>
      <c r="N112" s="24">
        <f t="shared" si="2"/>
        <v>2</v>
      </c>
      <c r="O112" s="24">
        <f t="shared" si="3"/>
        <v>20</v>
      </c>
    </row>
    <row r="113" spans="1:15">
      <c r="A113" s="24">
        <v>110</v>
      </c>
      <c r="B113" s="24">
        <v>111</v>
      </c>
      <c r="C113" s="24" t="s">
        <v>383</v>
      </c>
      <c r="D113" s="24">
        <v>1007</v>
      </c>
      <c r="E113" s="24">
        <v>0</v>
      </c>
      <c r="F113" s="24">
        <v>680</v>
      </c>
      <c r="G113" s="24" t="s">
        <v>321</v>
      </c>
      <c r="H113" s="24">
        <v>0</v>
      </c>
      <c r="I113" s="24">
        <v>0</v>
      </c>
      <c r="J113" s="24">
        <v>2</v>
      </c>
      <c r="K113" s="24">
        <v>0</v>
      </c>
      <c r="L113" s="24">
        <v>20</v>
      </c>
      <c r="M113" s="24">
        <v>0</v>
      </c>
      <c r="N113" s="24">
        <f t="shared" si="2"/>
        <v>2</v>
      </c>
      <c r="O113" s="24">
        <f t="shared" si="3"/>
        <v>20</v>
      </c>
    </row>
    <row r="114" spans="1:15">
      <c r="A114" s="24">
        <v>111</v>
      </c>
      <c r="B114" s="24">
        <v>112</v>
      </c>
      <c r="C114" s="24" t="s">
        <v>479</v>
      </c>
      <c r="D114" s="24">
        <v>34</v>
      </c>
      <c r="E114" s="24">
        <v>0</v>
      </c>
      <c r="F114" s="24">
        <v>1750</v>
      </c>
      <c r="G114" s="24" t="s">
        <v>209</v>
      </c>
      <c r="H114" s="24">
        <v>0</v>
      </c>
      <c r="I114" s="24">
        <v>0</v>
      </c>
      <c r="J114" s="24">
        <v>4</v>
      </c>
      <c r="K114" s="24">
        <v>0</v>
      </c>
      <c r="L114" s="24">
        <v>30</v>
      </c>
      <c r="M114" s="24">
        <v>0</v>
      </c>
      <c r="N114" s="24">
        <f t="shared" si="2"/>
        <v>4</v>
      </c>
      <c r="O114" s="24">
        <f t="shared" si="3"/>
        <v>30</v>
      </c>
    </row>
    <row r="115" spans="1:15">
      <c r="A115" s="24">
        <v>112</v>
      </c>
      <c r="B115" s="24">
        <v>113</v>
      </c>
      <c r="C115" s="24" t="s">
        <v>384</v>
      </c>
      <c r="D115" s="24">
        <v>1007</v>
      </c>
      <c r="E115" s="24">
        <v>0</v>
      </c>
      <c r="F115" s="24">
        <v>700</v>
      </c>
      <c r="G115" s="24" t="s">
        <v>321</v>
      </c>
      <c r="H115" s="24">
        <v>0</v>
      </c>
      <c r="I115" s="24">
        <v>0</v>
      </c>
      <c r="J115" s="24">
        <v>2</v>
      </c>
      <c r="K115" s="24">
        <v>0</v>
      </c>
      <c r="L115" s="24">
        <v>20</v>
      </c>
      <c r="M115" s="24">
        <v>0</v>
      </c>
      <c r="N115" s="24">
        <f t="shared" si="2"/>
        <v>2</v>
      </c>
      <c r="O115" s="24">
        <f t="shared" si="3"/>
        <v>20</v>
      </c>
    </row>
    <row r="116" spans="1:15">
      <c r="A116" s="24">
        <v>113</v>
      </c>
      <c r="B116" s="24">
        <v>114</v>
      </c>
      <c r="C116" s="24" t="s">
        <v>406</v>
      </c>
      <c r="D116" s="24">
        <v>1011</v>
      </c>
      <c r="E116" s="24">
        <v>5</v>
      </c>
      <c r="F116" s="24">
        <v>1</v>
      </c>
      <c r="G116" s="24" t="s">
        <v>408</v>
      </c>
      <c r="H116" s="24">
        <v>0</v>
      </c>
      <c r="I116" s="24">
        <v>0</v>
      </c>
      <c r="J116" s="24">
        <v>2</v>
      </c>
      <c r="K116" s="24">
        <v>0</v>
      </c>
      <c r="L116" s="24">
        <v>20</v>
      </c>
      <c r="M116" s="24">
        <v>0</v>
      </c>
      <c r="N116" s="24">
        <f t="shared" si="2"/>
        <v>2</v>
      </c>
      <c r="O116" s="24">
        <f t="shared" si="3"/>
        <v>20</v>
      </c>
    </row>
    <row r="117" spans="1:15">
      <c r="A117" s="24">
        <v>114</v>
      </c>
      <c r="B117" s="24">
        <v>115</v>
      </c>
      <c r="C117" s="24" t="s">
        <v>385</v>
      </c>
      <c r="D117" s="24">
        <v>3</v>
      </c>
      <c r="E117" s="24">
        <v>0</v>
      </c>
      <c r="F117" s="24">
        <v>330</v>
      </c>
      <c r="G117" s="24" t="s">
        <v>318</v>
      </c>
      <c r="H117" s="24">
        <v>0</v>
      </c>
      <c r="I117" s="24">
        <v>0</v>
      </c>
      <c r="J117" s="24">
        <v>2</v>
      </c>
      <c r="K117" s="24">
        <v>0</v>
      </c>
      <c r="L117" s="24">
        <v>20</v>
      </c>
      <c r="M117" s="24">
        <v>0</v>
      </c>
      <c r="N117" s="24">
        <f t="shared" si="2"/>
        <v>2</v>
      </c>
      <c r="O117" s="24">
        <f t="shared" si="3"/>
        <v>20</v>
      </c>
    </row>
    <row r="118" spans="1:15">
      <c r="A118" s="24">
        <v>115</v>
      </c>
      <c r="B118" s="24">
        <v>116</v>
      </c>
      <c r="C118" s="24" t="s">
        <v>465</v>
      </c>
      <c r="D118" s="24">
        <v>34</v>
      </c>
      <c r="E118" s="24">
        <v>0</v>
      </c>
      <c r="F118" s="24">
        <v>1800</v>
      </c>
      <c r="G118" s="24" t="s">
        <v>209</v>
      </c>
      <c r="H118" s="24">
        <v>0</v>
      </c>
      <c r="I118" s="24">
        <v>0</v>
      </c>
      <c r="J118" s="24">
        <v>4</v>
      </c>
      <c r="K118" s="24">
        <v>0</v>
      </c>
      <c r="L118" s="24">
        <v>30</v>
      </c>
      <c r="M118" s="24">
        <v>0</v>
      </c>
      <c r="N118" s="24">
        <f t="shared" si="2"/>
        <v>4</v>
      </c>
      <c r="O118" s="24">
        <f t="shared" si="3"/>
        <v>30</v>
      </c>
    </row>
    <row r="119" spans="1:15">
      <c r="A119" s="24">
        <v>116</v>
      </c>
      <c r="B119" s="24">
        <v>117</v>
      </c>
      <c r="C119" s="24" t="s">
        <v>386</v>
      </c>
      <c r="D119" s="24">
        <v>1007</v>
      </c>
      <c r="E119" s="24">
        <v>0</v>
      </c>
      <c r="F119" s="24">
        <v>720</v>
      </c>
      <c r="G119" s="24" t="s">
        <v>321</v>
      </c>
      <c r="H119" s="24">
        <v>0</v>
      </c>
      <c r="I119" s="24">
        <v>0</v>
      </c>
      <c r="J119" s="24">
        <v>2</v>
      </c>
      <c r="K119" s="24">
        <v>0</v>
      </c>
      <c r="L119" s="24">
        <v>20</v>
      </c>
      <c r="M119" s="24">
        <v>0</v>
      </c>
      <c r="N119" s="24">
        <f t="shared" ref="N119:N120" si="4">IF(D119=34,4,2)</f>
        <v>2</v>
      </c>
      <c r="O119" s="24">
        <f t="shared" si="3"/>
        <v>20</v>
      </c>
    </row>
    <row r="120" spans="1:15">
      <c r="A120" s="24">
        <v>117</v>
      </c>
      <c r="B120" s="24">
        <v>118</v>
      </c>
      <c r="C120" s="24" t="s">
        <v>387</v>
      </c>
      <c r="D120" s="24">
        <v>1</v>
      </c>
      <c r="E120" s="24">
        <v>5</v>
      </c>
      <c r="F120" s="24">
        <v>1</v>
      </c>
      <c r="G120" s="24" t="s">
        <v>326</v>
      </c>
      <c r="H120" s="24">
        <v>0</v>
      </c>
      <c r="I120" s="24">
        <v>0</v>
      </c>
      <c r="J120" s="24">
        <v>2</v>
      </c>
      <c r="K120" s="24">
        <v>0</v>
      </c>
      <c r="L120" s="24">
        <v>20</v>
      </c>
      <c r="M120" s="24">
        <v>0</v>
      </c>
      <c r="N120" s="24">
        <f t="shared" si="4"/>
        <v>2</v>
      </c>
      <c r="O120" s="24">
        <f t="shared" si="3"/>
        <v>20</v>
      </c>
    </row>
  </sheetData>
  <phoneticPr fontId="1" type="noConversion"/>
  <conditionalFormatting sqref="A3:O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DailyMission</vt:lpstr>
      <vt:lpstr>Achievement</vt:lpstr>
      <vt:lpstr>Collection</vt:lpstr>
      <vt:lpstr>CollectionItem</vt:lpstr>
      <vt:lpstr>GuideMission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지협 이</cp:lastModifiedBy>
  <dcterms:created xsi:type="dcterms:W3CDTF">2023-03-02T06:07:43Z</dcterms:created>
  <dcterms:modified xsi:type="dcterms:W3CDTF">2026-02-04T05:26:35Z</dcterms:modified>
</cp:coreProperties>
</file>