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byssrium\AppinToss\ExcelTable\"/>
    </mc:Choice>
  </mc:AlternateContent>
  <xr:revisionPtr revIDLastSave="0" documentId="13_ncr:1_{E2C062C8-778B-4290-9015-B58CC9FF7368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Ad" sheetId="19" r:id="rId1"/>
    <sheet name="AdReward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8" l="1"/>
  <c r="H6" i="18"/>
  <c r="H7" i="18"/>
  <c r="H8" i="18"/>
  <c r="H9" i="18"/>
  <c r="H10" i="18"/>
  <c r="H11" i="18"/>
  <c r="H4" i="18"/>
</calcChain>
</file>

<file path=xl/sharedStrings.xml><?xml version="1.0" encoding="utf-8"?>
<sst xmlns="http://schemas.openxmlformats.org/spreadsheetml/2006/main" count="70" uniqueCount="33">
  <si>
    <t>FName</t>
  </si>
  <si>
    <t>int</t>
  </si>
  <si>
    <t>string</t>
  </si>
  <si>
    <t>all</t>
  </si>
  <si>
    <t>nodata</t>
  </si>
  <si>
    <t>Id</t>
  </si>
  <si>
    <t>Cooltime</t>
  </si>
  <si>
    <r>
      <t>무료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생명력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받기</t>
    </r>
  </si>
  <si>
    <r>
      <t>미스터리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박스</t>
    </r>
  </si>
  <si>
    <r>
      <t>일일미션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보상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받기</t>
    </r>
  </si>
  <si>
    <r>
      <t>스킬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리셋</t>
    </r>
  </si>
  <si>
    <r>
      <t>(</t>
    </r>
    <r>
      <rPr>
        <sz val="11"/>
        <rFont val="돋움"/>
        <family val="3"/>
        <charset val="129"/>
      </rPr>
      <t>상점</t>
    </r>
    <r>
      <rPr>
        <sz val="11"/>
        <rFont val="Calibri"/>
        <family val="2"/>
      </rPr>
      <t xml:space="preserve">) </t>
    </r>
    <r>
      <rPr>
        <sz val="11"/>
        <rFont val="돋움"/>
        <family val="3"/>
        <charset val="129"/>
      </rPr>
      <t>마이다스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손</t>
    </r>
  </si>
  <si>
    <r>
      <t>(</t>
    </r>
    <r>
      <rPr>
        <sz val="11"/>
        <rFont val="돋움"/>
        <family val="3"/>
        <charset val="129"/>
      </rPr>
      <t>상점</t>
    </r>
    <r>
      <rPr>
        <sz val="11"/>
        <rFont val="Calibri"/>
        <family val="2"/>
      </rPr>
      <t xml:space="preserve">) </t>
    </r>
    <r>
      <rPr>
        <sz val="11"/>
        <rFont val="돋움"/>
        <family val="3"/>
        <charset val="129"/>
      </rPr>
      <t>무료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보석</t>
    </r>
  </si>
  <si>
    <r>
      <t>(</t>
    </r>
    <r>
      <rPr>
        <sz val="11"/>
        <rFont val="돋움"/>
        <family val="3"/>
        <charset val="129"/>
      </rPr>
      <t>상점</t>
    </r>
    <r>
      <rPr>
        <sz val="11"/>
        <rFont val="Calibri"/>
        <family val="2"/>
      </rPr>
      <t xml:space="preserve">) </t>
    </r>
    <r>
      <rPr>
        <sz val="11"/>
        <rFont val="돋움"/>
        <family val="3"/>
        <charset val="129"/>
      </rPr>
      <t>무료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진주</t>
    </r>
  </si>
  <si>
    <r>
      <t>(</t>
    </r>
    <r>
      <rPr>
        <sz val="11"/>
        <rFont val="돋움"/>
        <family val="3"/>
        <charset val="129"/>
      </rPr>
      <t>공용</t>
    </r>
    <r>
      <rPr>
        <sz val="11"/>
        <rFont val="Calibri"/>
        <family val="2"/>
      </rPr>
      <t xml:space="preserve">) </t>
    </r>
    <r>
      <rPr>
        <sz val="11"/>
        <rFont val="돋움"/>
        <family val="3"/>
        <charset val="129"/>
      </rPr>
      <t>광고</t>
    </r>
  </si>
  <si>
    <t>GroupIdx</t>
  </si>
  <si>
    <t>Fname</t>
  </si>
  <si>
    <t>Rate</t>
  </si>
  <si>
    <t>FRate</t>
  </si>
  <si>
    <t>Memo</t>
  </si>
  <si>
    <t>미스터리박스</t>
  </si>
  <si>
    <t>ItemType</t>
  </si>
  <si>
    <t>ItemIdx</t>
  </si>
  <si>
    <t>ItemCnt</t>
  </si>
  <si>
    <r>
      <t>(</t>
    </r>
    <r>
      <rPr>
        <sz val="11"/>
        <rFont val="돋움"/>
        <family val="3"/>
        <charset val="129"/>
      </rPr>
      <t>상점</t>
    </r>
    <r>
      <rPr>
        <sz val="11"/>
        <rFont val="Calibri"/>
        <family val="2"/>
      </rPr>
      <t xml:space="preserve">) </t>
    </r>
    <r>
      <rPr>
        <sz val="11"/>
        <rFont val="맑은 고딕"/>
        <family val="2"/>
        <charset val="129"/>
      </rPr>
      <t>물고기 창조</t>
    </r>
    <r>
      <rPr>
        <sz val="11"/>
        <rFont val="Calibri"/>
        <family val="2"/>
      </rPr>
      <t xml:space="preserve"> </t>
    </r>
    <r>
      <rPr>
        <sz val="11"/>
        <rFont val="맑은 고딕"/>
        <family val="2"/>
        <charset val="129"/>
      </rPr>
      <t>티켓</t>
    </r>
    <phoneticPr fontId="1" type="noConversion"/>
  </si>
  <si>
    <t>물고기 창조 티켓</t>
    <phoneticPr fontId="1" type="noConversion"/>
  </si>
  <si>
    <t>생명력10분</t>
  </si>
  <si>
    <t>생명력 30분</t>
  </si>
  <si>
    <t>진화석</t>
    <phoneticPr fontId="1" type="noConversion"/>
  </si>
  <si>
    <t>보석 100개</t>
    <phoneticPr fontId="1" type="noConversion"/>
  </si>
  <si>
    <t>보석 50개</t>
    <phoneticPr fontId="1" type="noConversion"/>
  </si>
  <si>
    <t>진주 3개</t>
    <phoneticPr fontId="1" type="noConversion"/>
  </si>
  <si>
    <t>보석 30개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</si>
</sst>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  <font>
      <sz val="11"/>
      <name val="돋움"/>
      <family val="3"/>
      <charset val="129"/>
    </font>
    <font>
      <sz val="1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14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D97B-4B64-4B07-B56D-0BBA1F4F9996}">
  <dimension ref="A1:F22"/>
  <sheetViews>
    <sheetView tabSelected="1" workbookViewId="0">
      <selection activeCell="F5" sqref="F5"/>
    </sheetView>
  </sheetViews>
  <sheetFormatPr defaultRowHeight="15"/>
  <cols>
    <col min="1" max="1" width="5.7109375" bestFit="1" customWidth="1"/>
    <col min="2" max="2" width="24.140625" bestFit="1" customWidth="1"/>
    <col min="3" max="3" width="13" bestFit="1" customWidth="1"/>
    <col min="4" max="4" width="11.28515625" bestFit="1" customWidth="1"/>
    <col min="5" max="5" width="11.5703125" bestFit="1" customWidth="1"/>
    <col min="6" max="6" width="9.85546875" bestFit="1" customWidth="1"/>
    <col min="7" max="7" width="11.42578125" customWidth="1"/>
    <col min="8" max="8" width="11.85546875" customWidth="1"/>
  </cols>
  <sheetData>
    <row r="1" spans="1:6" ht="15.75" customHeight="1">
      <c r="A1" s="4" t="s">
        <v>5</v>
      </c>
      <c r="B1" s="2" t="s">
        <v>0</v>
      </c>
      <c r="C1" s="2" t="s">
        <v>21</v>
      </c>
      <c r="D1" s="2" t="s">
        <v>22</v>
      </c>
      <c r="E1" s="2" t="s">
        <v>23</v>
      </c>
      <c r="F1" s="2" t="s">
        <v>6</v>
      </c>
    </row>
    <row r="2" spans="1:6">
      <c r="A2" s="1" t="s">
        <v>1</v>
      </c>
      <c r="B2" s="2" t="s">
        <v>2</v>
      </c>
      <c r="C2" s="2" t="s">
        <v>21</v>
      </c>
      <c r="D2" s="2" t="s">
        <v>1</v>
      </c>
      <c r="E2" s="2" t="s">
        <v>1</v>
      </c>
      <c r="F2" s="2" t="s">
        <v>1</v>
      </c>
    </row>
    <row r="3" spans="1:6">
      <c r="A3" s="1" t="s">
        <v>3</v>
      </c>
      <c r="B3" s="1" t="s">
        <v>4</v>
      </c>
      <c r="C3" s="5" t="s">
        <v>3</v>
      </c>
      <c r="D3" s="5" t="s">
        <v>3</v>
      </c>
      <c r="E3" s="5" t="s">
        <v>3</v>
      </c>
      <c r="F3" s="5" t="s">
        <v>3</v>
      </c>
    </row>
    <row r="4" spans="1:6">
      <c r="A4" s="3">
        <v>1</v>
      </c>
      <c r="B4" s="6" t="s">
        <v>7</v>
      </c>
      <c r="C4" s="3">
        <v>3</v>
      </c>
      <c r="D4" s="3">
        <v>0</v>
      </c>
      <c r="E4" s="3">
        <v>300</v>
      </c>
      <c r="F4" s="3">
        <v>900</v>
      </c>
    </row>
    <row r="5" spans="1:6">
      <c r="A5" s="3">
        <v>2</v>
      </c>
      <c r="B5" s="6" t="s">
        <v>8</v>
      </c>
      <c r="C5" s="3">
        <v>5</v>
      </c>
      <c r="D5" s="3">
        <v>1</v>
      </c>
      <c r="E5" s="3">
        <v>1</v>
      </c>
      <c r="F5" s="3">
        <v>900</v>
      </c>
    </row>
    <row r="6" spans="1:6">
      <c r="A6" s="3">
        <v>3</v>
      </c>
      <c r="B6" s="6" t="s">
        <v>9</v>
      </c>
      <c r="C6" s="3">
        <v>0</v>
      </c>
      <c r="D6" s="3">
        <v>0</v>
      </c>
      <c r="E6" s="3">
        <v>0</v>
      </c>
      <c r="F6" s="3">
        <v>0</v>
      </c>
    </row>
    <row r="7" spans="1:6">
      <c r="A7" s="3">
        <v>4</v>
      </c>
      <c r="B7" s="6" t="s">
        <v>10</v>
      </c>
      <c r="C7" s="3">
        <v>0</v>
      </c>
      <c r="D7" s="3">
        <v>0</v>
      </c>
      <c r="E7" s="3">
        <v>0</v>
      </c>
      <c r="F7" s="3">
        <v>1800</v>
      </c>
    </row>
    <row r="8" spans="1:6">
      <c r="A8" s="3">
        <v>5</v>
      </c>
      <c r="B8" s="3" t="s">
        <v>11</v>
      </c>
      <c r="C8" s="3">
        <v>0</v>
      </c>
      <c r="D8" s="3">
        <v>0</v>
      </c>
      <c r="E8" s="3">
        <v>0</v>
      </c>
      <c r="F8" s="3">
        <v>300</v>
      </c>
    </row>
    <row r="9" spans="1:6" ht="16.5">
      <c r="A9" s="3">
        <v>6</v>
      </c>
      <c r="B9" s="7" t="s">
        <v>24</v>
      </c>
      <c r="C9" s="3">
        <v>0</v>
      </c>
      <c r="D9" s="3">
        <v>0</v>
      </c>
      <c r="E9" s="3">
        <v>0</v>
      </c>
      <c r="F9" s="3">
        <v>86400</v>
      </c>
    </row>
    <row r="10" spans="1:6">
      <c r="A10" s="3">
        <v>1000</v>
      </c>
      <c r="B10" s="3" t="s">
        <v>12</v>
      </c>
      <c r="C10" s="3">
        <v>0</v>
      </c>
      <c r="D10" s="3">
        <v>0</v>
      </c>
      <c r="E10" s="3">
        <v>0</v>
      </c>
      <c r="F10" s="3">
        <v>300</v>
      </c>
    </row>
    <row r="11" spans="1:6">
      <c r="A11" s="3">
        <v>1001</v>
      </c>
      <c r="B11" s="3" t="s">
        <v>13</v>
      </c>
      <c r="C11" s="3">
        <v>0</v>
      </c>
      <c r="D11" s="3">
        <v>0</v>
      </c>
      <c r="E11" s="3">
        <v>0</v>
      </c>
      <c r="F11" s="3">
        <v>1800</v>
      </c>
    </row>
    <row r="12" spans="1:6">
      <c r="A12" s="3">
        <v>9999</v>
      </c>
      <c r="B12" s="3" t="s">
        <v>14</v>
      </c>
      <c r="C12" s="3">
        <v>0</v>
      </c>
      <c r="D12" s="3">
        <v>0</v>
      </c>
      <c r="E12" s="3">
        <v>0</v>
      </c>
      <c r="F12" s="13">
        <v>21600</v>
      </c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</sheetData>
  <phoneticPr fontId="1" type="noConversion"/>
  <conditionalFormatting sqref="A1:A2">
    <cfRule type="duplicateValues" dxfId="6" priority="3"/>
  </conditionalFormatting>
  <conditionalFormatting sqref="A3:XFD3">
    <cfRule type="containsText" dxfId="5" priority="1" operator="containsText" text="all">
      <formula>NOT(ISERROR(SEARCH("all",A3)))</formula>
    </cfRule>
    <cfRule type="containsText" dxfId="4" priority="2" operator="containsText" text="nodata">
      <formula>NOT(ISERROR(SEARCH("nodata",A3)))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F15" sqref="F15"/>
    </sheetView>
  </sheetViews>
  <sheetFormatPr defaultRowHeight="15"/>
  <cols>
    <col min="1" max="1" width="9.28515625" bestFit="1" customWidth="1"/>
    <col min="2" max="2" width="10" bestFit="1" customWidth="1"/>
    <col min="3" max="3" width="15.42578125" bestFit="1" customWidth="1"/>
    <col min="4" max="4" width="13.140625" bestFit="1" customWidth="1"/>
    <col min="5" max="5" width="11.42578125" bestFit="1" customWidth="1"/>
    <col min="6" max="6" width="11.7109375" bestFit="1" customWidth="1"/>
    <col min="7" max="7" width="7.140625" bestFit="1" customWidth="1"/>
    <col min="8" max="8" width="16.42578125" bestFit="1" customWidth="1"/>
    <col min="9" max="9" width="19.140625" bestFit="1" customWidth="1"/>
    <col min="10" max="10" width="11.42578125" customWidth="1"/>
    <col min="11" max="11" width="11.85546875" customWidth="1"/>
  </cols>
  <sheetData>
    <row r="1" spans="1:9">
      <c r="A1" s="8" t="s">
        <v>5</v>
      </c>
      <c r="B1" s="8" t="s">
        <v>15</v>
      </c>
      <c r="C1" s="10" t="s">
        <v>16</v>
      </c>
      <c r="D1" s="10" t="s">
        <v>21</v>
      </c>
      <c r="E1" s="10" t="s">
        <v>22</v>
      </c>
      <c r="F1" s="10" t="s">
        <v>23</v>
      </c>
      <c r="G1" s="10" t="s">
        <v>17</v>
      </c>
      <c r="H1" s="10" t="s">
        <v>18</v>
      </c>
      <c r="I1" s="10" t="s">
        <v>19</v>
      </c>
    </row>
    <row r="2" spans="1:9">
      <c r="A2" s="8" t="s">
        <v>1</v>
      </c>
      <c r="B2" s="8" t="s">
        <v>1</v>
      </c>
      <c r="C2" s="10" t="s">
        <v>2</v>
      </c>
      <c r="D2" s="10" t="s">
        <v>21</v>
      </c>
      <c r="E2" s="10" t="s">
        <v>1</v>
      </c>
      <c r="F2" s="10" t="s">
        <v>1</v>
      </c>
      <c r="G2" s="10" t="s">
        <v>1</v>
      </c>
      <c r="H2" s="10" t="s">
        <v>2</v>
      </c>
      <c r="I2" s="10" t="s">
        <v>2</v>
      </c>
    </row>
    <row r="3" spans="1:9">
      <c r="A3" s="8" t="s">
        <v>3</v>
      </c>
      <c r="B3" s="8" t="s">
        <v>3</v>
      </c>
      <c r="C3" s="8" t="s">
        <v>4</v>
      </c>
      <c r="D3" s="9" t="s">
        <v>3</v>
      </c>
      <c r="E3" s="9" t="s">
        <v>3</v>
      </c>
      <c r="F3" s="9" t="s">
        <v>3</v>
      </c>
      <c r="G3" s="9" t="s">
        <v>3</v>
      </c>
      <c r="H3" s="9" t="s">
        <v>4</v>
      </c>
      <c r="I3" s="9" t="s">
        <v>4</v>
      </c>
    </row>
    <row r="4" spans="1:9">
      <c r="A4" s="11">
        <v>1</v>
      </c>
      <c r="B4" s="11">
        <v>1</v>
      </c>
      <c r="C4" s="11" t="s">
        <v>20</v>
      </c>
      <c r="D4" s="11">
        <v>4</v>
      </c>
      <c r="E4" s="11">
        <v>1001</v>
      </c>
      <c r="F4" s="11">
        <v>600</v>
      </c>
      <c r="G4" s="11">
        <v>200</v>
      </c>
      <c r="H4" s="12">
        <f>G4/SUM($G$4:$G$11)</f>
        <v>0.49382716049382713</v>
      </c>
      <c r="I4" s="11" t="s">
        <v>26</v>
      </c>
    </row>
    <row r="5" spans="1:9">
      <c r="A5" s="11">
        <v>2</v>
      </c>
      <c r="B5" s="11">
        <v>1</v>
      </c>
      <c r="C5" s="11" t="s">
        <v>20</v>
      </c>
      <c r="D5" s="11">
        <v>4</v>
      </c>
      <c r="E5" s="11">
        <v>1001</v>
      </c>
      <c r="F5" s="11">
        <v>1800</v>
      </c>
      <c r="G5" s="11">
        <v>30</v>
      </c>
      <c r="H5" s="12">
        <f t="shared" ref="H5:H11" si="0">G5/SUM($G$4:$G$11)</f>
        <v>7.407407407407407E-2</v>
      </c>
      <c r="I5" s="11" t="s">
        <v>27</v>
      </c>
    </row>
    <row r="6" spans="1:9">
      <c r="A6" s="11">
        <v>3</v>
      </c>
      <c r="B6" s="11">
        <v>1</v>
      </c>
      <c r="C6" s="11" t="s">
        <v>20</v>
      </c>
      <c r="D6" s="11">
        <v>2</v>
      </c>
      <c r="E6" s="11">
        <v>0</v>
      </c>
      <c r="F6" s="11">
        <v>30</v>
      </c>
      <c r="G6" s="11">
        <v>100</v>
      </c>
      <c r="H6" s="12">
        <f t="shared" si="0"/>
        <v>0.24691358024691357</v>
      </c>
      <c r="I6" s="11" t="s">
        <v>32</v>
      </c>
    </row>
    <row r="7" spans="1:9">
      <c r="A7" s="11">
        <v>4</v>
      </c>
      <c r="B7" s="11">
        <v>1</v>
      </c>
      <c r="C7" s="11" t="s">
        <v>20</v>
      </c>
      <c r="D7" s="11">
        <v>7</v>
      </c>
      <c r="E7" s="11">
        <v>0</v>
      </c>
      <c r="F7" s="11">
        <v>3</v>
      </c>
      <c r="G7" s="11">
        <v>10</v>
      </c>
      <c r="H7" s="12">
        <f t="shared" si="0"/>
        <v>2.4691358024691357E-2</v>
      </c>
      <c r="I7" s="11" t="s">
        <v>31</v>
      </c>
    </row>
    <row r="8" spans="1:9">
      <c r="A8" s="11">
        <v>5</v>
      </c>
      <c r="B8" s="11">
        <v>1</v>
      </c>
      <c r="C8" s="11" t="s">
        <v>20</v>
      </c>
      <c r="D8" s="11">
        <v>9</v>
      </c>
      <c r="E8" s="11">
        <v>0</v>
      </c>
      <c r="F8" s="11">
        <v>1</v>
      </c>
      <c r="G8" s="11">
        <v>5</v>
      </c>
      <c r="H8" s="12">
        <f t="shared" si="0"/>
        <v>1.2345679012345678E-2</v>
      </c>
      <c r="I8" s="11" t="s">
        <v>25</v>
      </c>
    </row>
    <row r="9" spans="1:9">
      <c r="A9" s="11">
        <v>6</v>
      </c>
      <c r="B9" s="11">
        <v>1</v>
      </c>
      <c r="C9" s="11" t="s">
        <v>20</v>
      </c>
      <c r="D9" s="11">
        <v>8</v>
      </c>
      <c r="E9" s="11">
        <v>0</v>
      </c>
      <c r="F9" s="11">
        <v>10</v>
      </c>
      <c r="G9" s="11">
        <v>30</v>
      </c>
      <c r="H9" s="12">
        <f t="shared" si="0"/>
        <v>7.407407407407407E-2</v>
      </c>
      <c r="I9" s="11" t="s">
        <v>28</v>
      </c>
    </row>
    <row r="10" spans="1:9">
      <c r="A10" s="11">
        <v>7</v>
      </c>
      <c r="B10" s="11">
        <v>1</v>
      </c>
      <c r="C10" s="11" t="s">
        <v>20</v>
      </c>
      <c r="D10" s="11">
        <v>2</v>
      </c>
      <c r="E10" s="11">
        <v>0</v>
      </c>
      <c r="F10" s="11">
        <v>50</v>
      </c>
      <c r="G10" s="11">
        <v>20</v>
      </c>
      <c r="H10" s="12">
        <f t="shared" si="0"/>
        <v>4.9382716049382713E-2</v>
      </c>
      <c r="I10" s="11" t="s">
        <v>30</v>
      </c>
    </row>
    <row r="11" spans="1:9">
      <c r="A11" s="11">
        <v>8</v>
      </c>
      <c r="B11" s="11">
        <v>1</v>
      </c>
      <c r="C11" s="11" t="s">
        <v>20</v>
      </c>
      <c r="D11" s="11">
        <v>2</v>
      </c>
      <c r="E11" s="11">
        <v>0</v>
      </c>
      <c r="F11" s="11">
        <v>100</v>
      </c>
      <c r="G11" s="11">
        <v>10</v>
      </c>
      <c r="H11" s="12">
        <f t="shared" si="0"/>
        <v>2.4691358024691357E-2</v>
      </c>
      <c r="I11" s="11" t="s">
        <v>29</v>
      </c>
    </row>
    <row r="12" spans="1:9">
      <c r="A12" s="11"/>
    </row>
  </sheetData>
  <phoneticPr fontId="1" type="noConversion"/>
  <conditionalFormatting sqref="A1:A2">
    <cfRule type="duplicateValues" dxfId="3" priority="3"/>
  </conditionalFormatting>
  <conditionalFormatting sqref="A3:XFD3">
    <cfRule type="containsText" dxfId="2" priority="1" operator="containsText" text="all">
      <formula>NOT(ISERROR(SEARCH("all",A3)))</formula>
    </cfRule>
    <cfRule type="containsText" dxfId="1" priority="2" operator="containsText" text="nodata">
      <formula>NOT(ISERROR(SEARCH("nodata",A3)))</formula>
    </cfRule>
  </conditionalFormatting>
  <conditionalFormatting sqref="B1:B2"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Ad</vt:lpstr>
      <vt:lpstr>AdReward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플레로</cp:lastModifiedBy>
  <dcterms:created xsi:type="dcterms:W3CDTF">2023-03-02T06:07:43Z</dcterms:created>
  <dcterms:modified xsi:type="dcterms:W3CDTF">2026-01-30T01:37:17Z</dcterms:modified>
</cp:coreProperties>
</file>