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0AAAA76B-BE2F-405C-8070-EE2734B34CE9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FishInfo" sheetId="18" r:id="rId1"/>
    <sheet name="FishUnlockCondition" sheetId="19" r:id="rId2"/>
    <sheet name="FishGroup" sheetId="20" r:id="rId3"/>
  </sheets>
  <definedNames>
    <definedName name="_xlnm._FilterDatabase" localSheetId="0" hidden="1">FishInfo!$A$1:$O$118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3" i="18" l="1"/>
  <c r="D230" i="18" l="1"/>
  <c r="D231" i="18"/>
  <c r="D232" i="18"/>
  <c r="D229" i="18"/>
  <c r="D214" i="18"/>
  <c r="D228" i="18"/>
  <c r="D137" i="18" l="1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19" i="18"/>
  <c r="C32" i="20"/>
  <c r="D5" i="18" l="1"/>
  <c r="D6" i="18"/>
  <c r="D7" i="18"/>
  <c r="D22" i="18"/>
  <c r="D23" i="18"/>
  <c r="D24" i="18"/>
  <c r="D25" i="18"/>
  <c r="D26" i="18"/>
  <c r="D27" i="18"/>
  <c r="D8" i="18"/>
  <c r="D9" i="18"/>
  <c r="D10" i="18"/>
  <c r="D11" i="18"/>
  <c r="D12" i="18"/>
  <c r="D13" i="18"/>
  <c r="D39" i="18"/>
  <c r="D35" i="18"/>
  <c r="D36" i="18"/>
  <c r="D37" i="18"/>
  <c r="D38" i="18"/>
  <c r="D14" i="18"/>
  <c r="D15" i="18"/>
  <c r="D16" i="18"/>
  <c r="D17" i="18"/>
  <c r="D18" i="18"/>
  <c r="D19" i="18"/>
  <c r="D20" i="18"/>
  <c r="D28" i="18"/>
  <c r="D29" i="18"/>
  <c r="D30" i="18"/>
  <c r="D31" i="18"/>
  <c r="D44" i="18"/>
  <c r="D32" i="18"/>
  <c r="D33" i="18"/>
  <c r="D34" i="18"/>
  <c r="D21" i="18"/>
  <c r="D40" i="18"/>
  <c r="D41" i="18"/>
  <c r="D42" i="18"/>
  <c r="D43" i="18"/>
  <c r="D45" i="18"/>
  <c r="D46" i="18"/>
  <c r="D47" i="18"/>
  <c r="D49" i="18"/>
  <c r="D58" i="18"/>
  <c r="D50" i="18"/>
  <c r="D48" i="18"/>
  <c r="D51" i="18"/>
  <c r="D52" i="18"/>
  <c r="D53" i="18"/>
  <c r="D54" i="18"/>
  <c r="D55" i="18"/>
  <c r="D56" i="18"/>
  <c r="D57" i="18"/>
  <c r="D60" i="18"/>
  <c r="D61" i="18"/>
  <c r="D62" i="18"/>
  <c r="D63" i="18"/>
  <c r="D64" i="18"/>
  <c r="D78" i="18"/>
  <c r="D79" i="18"/>
  <c r="D70" i="18"/>
  <c r="D71" i="18"/>
  <c r="D86" i="18"/>
  <c r="D87" i="18"/>
  <c r="D88" i="18"/>
  <c r="D89" i="18"/>
  <c r="D90" i="18"/>
  <c r="D91" i="18"/>
  <c r="D93" i="18"/>
  <c r="D92" i="18"/>
  <c r="D95" i="18"/>
  <c r="D96" i="18"/>
  <c r="D94" i="18"/>
  <c r="D97" i="18"/>
  <c r="D98" i="18"/>
  <c r="D76" i="18"/>
  <c r="D85" i="18"/>
  <c r="D104" i="18"/>
  <c r="D105" i="18"/>
  <c r="D106" i="18"/>
  <c r="D108" i="18"/>
  <c r="D109" i="18"/>
  <c r="D112" i="18"/>
  <c r="D113" i="18"/>
  <c r="D115" i="18"/>
  <c r="D110" i="18"/>
  <c r="D111" i="18"/>
  <c r="D59" i="18"/>
  <c r="D72" i="18"/>
  <c r="D73" i="18"/>
  <c r="D74" i="18"/>
  <c r="D75" i="18"/>
  <c r="D77" i="18"/>
  <c r="D65" i="18"/>
  <c r="D66" i="18"/>
  <c r="D67" i="18"/>
  <c r="D68" i="18"/>
  <c r="D69" i="18"/>
  <c r="D99" i="18"/>
  <c r="D100" i="18"/>
  <c r="D101" i="18"/>
  <c r="D102" i="18"/>
  <c r="D103" i="18"/>
  <c r="D80" i="18"/>
  <c r="D81" i="18"/>
  <c r="D82" i="18"/>
  <c r="D83" i="18"/>
  <c r="D84" i="18"/>
  <c r="D107" i="18"/>
  <c r="D116" i="18"/>
  <c r="D114" i="18"/>
  <c r="D117" i="18"/>
  <c r="D118" i="18"/>
  <c r="D4" i="18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</calcChain>
</file>

<file path=xl/sharedStrings.xml><?xml version="1.0" encoding="utf-8"?>
<sst xmlns="http://schemas.openxmlformats.org/spreadsheetml/2006/main" count="1700" uniqueCount="1150">
  <si>
    <t>Id</t>
    <phoneticPr fontId="1" type="noConversion"/>
  </si>
  <si>
    <t>FName</t>
  </si>
  <si>
    <t>int</t>
  </si>
  <si>
    <t>string</t>
  </si>
  <si>
    <t>all</t>
  </si>
  <si>
    <t>nodata</t>
  </si>
  <si>
    <t>client</t>
  </si>
  <si>
    <t>FishGroupId</t>
  </si>
  <si>
    <t>FishType</t>
  </si>
  <si>
    <t>FGroupName</t>
  </si>
  <si>
    <t>Order</t>
  </si>
  <si>
    <t>TargetPool</t>
  </si>
  <si>
    <t>IsFixedScale</t>
  </si>
  <si>
    <t>FixedScale</t>
  </si>
  <si>
    <t>fishtype</t>
  </si>
  <si>
    <t>크라운</t>
  </si>
  <si>
    <t>퍼큘라 크라운</t>
  </si>
  <si>
    <t>레드 크라운</t>
  </si>
  <si>
    <t>블루 크라운</t>
  </si>
  <si>
    <t>스노우플레이크 크라운</t>
  </si>
  <si>
    <t>FishTargetDistance</t>
  </si>
  <si>
    <t>FishZoomDistance</t>
  </si>
  <si>
    <t>FishName</t>
  </si>
  <si>
    <t>FishIcon</t>
  </si>
  <si>
    <t>int</t>
    <phoneticPr fontId="4" type="noConversion"/>
  </si>
  <si>
    <t>string</t>
    <phoneticPr fontId="4" type="noConversion"/>
  </si>
  <si>
    <t>client</t>
    <phoneticPr fontId="4" type="noConversion"/>
  </si>
  <si>
    <t>fishname_Red ClownFish</t>
  </si>
  <si>
    <t>fishname_Blue ClownFish</t>
  </si>
  <si>
    <t>fishname_Snow Clown</t>
  </si>
  <si>
    <t>PrefabPath</t>
    <phoneticPr fontId="1" type="noConversion"/>
  </si>
  <si>
    <t>string</t>
    <phoneticPr fontId="1" type="noConversion"/>
  </si>
  <si>
    <t>FishId</t>
  </si>
  <si>
    <t>UnlockType</t>
  </si>
  <si>
    <t>UnlockTarget</t>
  </si>
  <si>
    <t>UnlockDesc</t>
  </si>
  <si>
    <t>unlocktype</t>
  </si>
  <si>
    <t>탱</t>
  </si>
  <si>
    <t>블루탱</t>
  </si>
  <si>
    <t>아킬레스 탱</t>
  </si>
  <si>
    <t>크라운 탱</t>
  </si>
  <si>
    <t>옐로우탱</t>
  </si>
  <si>
    <t>무어리쉬 아이돌</t>
  </si>
  <si>
    <t>파우더 블루탱</t>
  </si>
  <si>
    <t>컨빅트 탱</t>
  </si>
  <si>
    <t>나소탱</t>
  </si>
  <si>
    <t>스팟 만다린</t>
  </si>
  <si>
    <t>담셀</t>
  </si>
  <si>
    <t>블랙 &amp; 골드 담셀</t>
  </si>
  <si>
    <t>블루 핀 담셀</t>
  </si>
  <si>
    <t>크로스 담셀</t>
  </si>
  <si>
    <t>주얼 담셀</t>
  </si>
  <si>
    <t>나비</t>
  </si>
  <si>
    <t>버지스 나비</t>
  </si>
  <si>
    <t>라쿤 나비</t>
  </si>
  <si>
    <t>트라이앵글 나비</t>
  </si>
  <si>
    <t>줄나비</t>
  </si>
  <si>
    <t>파자마 카디날</t>
  </si>
  <si>
    <t>쥬브나일 핀아트 스페이드 피쉬</t>
  </si>
  <si>
    <t>로얄 도티백</t>
  </si>
  <si>
    <t>오키드 도티백</t>
  </si>
  <si>
    <t>다이아뎀 도티백</t>
  </si>
  <si>
    <t>스프링거 도티백</t>
  </si>
  <si>
    <t>고비</t>
  </si>
  <si>
    <t>파이어 고비</t>
  </si>
  <si>
    <t>블루 밴디드 고비</t>
  </si>
  <si>
    <t>헬프리치 고비</t>
  </si>
  <si>
    <t>바다민달팽이</t>
  </si>
  <si>
    <t>랜달스 고비</t>
  </si>
  <si>
    <t>시저테일 고비</t>
  </si>
  <si>
    <t>옐로 와치맨 고비</t>
  </si>
  <si>
    <t>팬더 그루퍼</t>
  </si>
  <si>
    <t>납작 앨퉁이</t>
  </si>
  <si>
    <t>복어</t>
  </si>
  <si>
    <t>이스턴 스무스 박스피쉬 복어</t>
  </si>
  <si>
    <t>옐로우 박스피쉬 복어</t>
  </si>
  <si>
    <t>크라운 트리거 복어</t>
  </si>
  <si>
    <t>낙타 거북복</t>
  </si>
  <si>
    <t>롱혼 카우피쉬 복어</t>
  </si>
  <si>
    <t>오렌지 카우피쉬 복어</t>
  </si>
  <si>
    <t>스팟티드 박스피쉬 복어</t>
  </si>
  <si>
    <t>해마</t>
  </si>
  <si>
    <t>오렌지 해마</t>
  </si>
  <si>
    <t>블랙 해마</t>
  </si>
  <si>
    <t>브라질리언 해마</t>
  </si>
  <si>
    <t>배불뚝이 해마</t>
  </si>
  <si>
    <t>피그미 해마</t>
  </si>
  <si>
    <t>앤젤</t>
  </si>
  <si>
    <t>애스퍼 앤젤</t>
  </si>
  <si>
    <t>프렌치 앤젤</t>
  </si>
  <si>
    <t>퀸 앤젤</t>
  </si>
  <si>
    <t>블롭 피쉬</t>
  </si>
  <si>
    <t>패럿피쉬</t>
  </si>
  <si>
    <t>블루 패럿피쉬</t>
  </si>
  <si>
    <t>레드 패럿피쉬</t>
  </si>
  <si>
    <t>바다돼지</t>
  </si>
  <si>
    <t>산갈치</t>
  </si>
  <si>
    <t>바다거북</t>
  </si>
  <si>
    <t>켐프각시 바다거북</t>
  </si>
  <si>
    <t>붉은 바다거북</t>
  </si>
  <si>
    <t>블루 그린 챠로미스</t>
  </si>
  <si>
    <t>블랙바 챠로미스</t>
  </si>
  <si>
    <t>듀공</t>
  </si>
  <si>
    <t>초록 바다거북</t>
  </si>
  <si>
    <t>대모 거북</t>
  </si>
  <si>
    <t>가죽등 거북</t>
  </si>
  <si>
    <t>연체동물</t>
  </si>
  <si>
    <t>대왕 오징어</t>
  </si>
  <si>
    <t>피글렛 오징어</t>
  </si>
  <si>
    <t>콜로살 오징어</t>
  </si>
  <si>
    <t>해룡</t>
  </si>
  <si>
    <t>나뭇잎 해룡</t>
  </si>
  <si>
    <t>리본 해룡</t>
  </si>
  <si>
    <t>풀잎 해룡</t>
  </si>
  <si>
    <t>붉은 풀잎해룡</t>
  </si>
  <si>
    <t>대왕 해룡</t>
  </si>
  <si>
    <t>문어</t>
  </si>
  <si>
    <t>갑오징어</t>
  </si>
  <si>
    <t>뱀파이어 오징어</t>
  </si>
  <si>
    <t>돌고래</t>
  </si>
  <si>
    <t>병코 돌고래</t>
  </si>
  <si>
    <t>수구리</t>
  </si>
  <si>
    <t>목탁수구리</t>
  </si>
  <si>
    <t>고래</t>
  </si>
  <si>
    <t>대왕 수구리</t>
  </si>
  <si>
    <t>개복치</t>
  </si>
  <si>
    <t>꼬마향고래</t>
  </si>
  <si>
    <t>보름달 물 해파리</t>
  </si>
  <si>
    <t>야광원양해파리</t>
  </si>
  <si>
    <t>가오리</t>
  </si>
  <si>
    <t>전기가오리</t>
  </si>
  <si>
    <t>점박이 매가오리</t>
  </si>
  <si>
    <t>만타 가오리</t>
  </si>
  <si>
    <t>상어</t>
  </si>
  <si>
    <t>긴꼬리상어</t>
  </si>
  <si>
    <t>얼룩말상어</t>
  </si>
  <si>
    <t>청새치</t>
  </si>
  <si>
    <t>범고래</t>
  </si>
  <si>
    <t>톱가오리</t>
  </si>
  <si>
    <t>이라와디 돌고래</t>
  </si>
  <si>
    <t>머리코 돌고래</t>
  </si>
  <si>
    <t>열대얼룩 돌고래</t>
  </si>
  <si>
    <t>망치상어</t>
  </si>
  <si>
    <t>백상어</t>
  </si>
  <si>
    <t>고래상어</t>
  </si>
  <si>
    <t>넓은주둥이상어</t>
  </si>
  <si>
    <t>돌묵상어</t>
  </si>
  <si>
    <t>흰긴수염고래</t>
  </si>
  <si>
    <t>분홍 돌고래</t>
  </si>
  <si>
    <t>벨루가</t>
  </si>
  <si>
    <t>미갈루</t>
  </si>
  <si>
    <t>향유고래</t>
  </si>
  <si>
    <t>천년 흰긴수염고래</t>
  </si>
  <si>
    <t>BookScale</t>
  </si>
  <si>
    <t>fishname_Blue Tang</t>
  </si>
  <si>
    <t>fishname_Achilles Tang</t>
  </si>
  <si>
    <t>fishname_Clown Tang</t>
  </si>
  <si>
    <t>fishname_Yello Tang</t>
  </si>
  <si>
    <t>fishname_Moorish Idol</t>
  </si>
  <si>
    <t>fishname_Powder Blue Tang</t>
  </si>
  <si>
    <t>fishname_Convict Tang</t>
  </si>
  <si>
    <t>fishname_NasoTang</t>
  </si>
  <si>
    <t>fishname_Spotted Mandarin Dragonet</t>
  </si>
  <si>
    <t>fishname_Black and Gold Damsel</t>
  </si>
  <si>
    <t>fishname_Blue Fin Damsel</t>
  </si>
  <si>
    <t>fishname_Cross Damsel</t>
  </si>
  <si>
    <t>fishname_Jewel Damsel</t>
  </si>
  <si>
    <t>fishname_Burgess Butterfly</t>
  </si>
  <si>
    <t>fishname_Raccoon Butterfly</t>
  </si>
  <si>
    <t>fishname_Triangel Butterfly</t>
  </si>
  <si>
    <t>fishname_Lined Butterfly</t>
  </si>
  <si>
    <t>fishname_Pajama Cardinal</t>
  </si>
  <si>
    <t>fishname_Juvenile Pinnate Spadefish</t>
  </si>
  <si>
    <t>fishname_Bicolor Dottyback</t>
  </si>
  <si>
    <t>fishname_Orchid Dottyback</t>
  </si>
  <si>
    <t>fishname_Diadem Dottyback</t>
  </si>
  <si>
    <t>fishname_Springer Dottyback</t>
  </si>
  <si>
    <t>fishname_Fire Goby</t>
  </si>
  <si>
    <t>fishname_Blue Banded Goby</t>
  </si>
  <si>
    <t>fishname_Helfrich Goby</t>
  </si>
  <si>
    <t>fishname_Seaslug</t>
  </si>
  <si>
    <t>fishname_Randalls Goby</t>
  </si>
  <si>
    <t>fishname_Scissortail Goby</t>
  </si>
  <si>
    <t>fishname_Yellow Watchman Goby</t>
  </si>
  <si>
    <t>fishname_Panther Grouper</t>
  </si>
  <si>
    <t>fishname_Hatchet Fish</t>
  </si>
  <si>
    <t>fishname_Eastern Smooth Boxfish</t>
  </si>
  <si>
    <t>fishname_Cube BoxFish</t>
  </si>
  <si>
    <t>fishname_Clown Trigger</t>
  </si>
  <si>
    <t>fishname_Camel Cowfish</t>
  </si>
  <si>
    <t>fishname_Longhorn Cowfish</t>
  </si>
  <si>
    <t>fishname_Orange Cowfish</t>
  </si>
  <si>
    <t>fishname_Juvenile Spotted Boxfish</t>
  </si>
  <si>
    <t>fishname_Orange Seahorse</t>
  </si>
  <si>
    <t>fishname_Black Seahorse</t>
  </si>
  <si>
    <t>fishname_Brazilian Seahorse</t>
  </si>
  <si>
    <t>fishname_Potbelly Seahorse</t>
  </si>
  <si>
    <t>fishname_Pygmy Seahorse</t>
  </si>
  <si>
    <t>fishname_Asfur Angel</t>
  </si>
  <si>
    <t>fishname_French Angel</t>
  </si>
  <si>
    <t>fishname_Queen Angelfish</t>
  </si>
  <si>
    <t>fishname_BlobFish</t>
  </si>
  <si>
    <t>fishname_Blue Parrotfish</t>
  </si>
  <si>
    <t>fishname_Red Parrotfish</t>
  </si>
  <si>
    <t>fishname_SeaPig</t>
  </si>
  <si>
    <t>fishname_Oarfish</t>
  </si>
  <si>
    <t>fishname_Kemps Ridley Turtle</t>
  </si>
  <si>
    <t>fishname_Loggerhead Turtle</t>
  </si>
  <si>
    <t>fishname_Blue Green Chromis</t>
  </si>
  <si>
    <t>fishname_Black Bar Chromis</t>
  </si>
  <si>
    <t>fishname_Dugon</t>
  </si>
  <si>
    <t>fishname_Green Turtle</t>
  </si>
  <si>
    <t>fishname_Hawksbill Turtle</t>
  </si>
  <si>
    <t>fishname_Leatherback Turtle</t>
  </si>
  <si>
    <t>fishname_Giant Squid</t>
  </si>
  <si>
    <t>fishname_Piglet Squid</t>
  </si>
  <si>
    <t>fishname_Colossal Squid</t>
  </si>
  <si>
    <t>fishname_Leafy Seadragon</t>
  </si>
  <si>
    <t>fishname_Ribbon Seadragon</t>
  </si>
  <si>
    <t>fishname_Weedy Seadragon</t>
  </si>
  <si>
    <t>fishname_Red Weedy Seadragon</t>
  </si>
  <si>
    <t>fishname_Giant Seadragon</t>
  </si>
  <si>
    <t>fishname_Octopus</t>
  </si>
  <si>
    <t>fishname_Cuttle Fish</t>
  </si>
  <si>
    <t>fishname_Vampire Squid</t>
  </si>
  <si>
    <t>fishname_Bottleneck Dolphin</t>
  </si>
  <si>
    <t>fishname_Shovelnose Guitarfish</t>
  </si>
  <si>
    <t>fishname_Bowmouth Guitarfish</t>
  </si>
  <si>
    <t>fishname_Giant Guitarfish</t>
  </si>
  <si>
    <t>fishname_Sun Fish</t>
  </si>
  <si>
    <t>fishname_Dwarf Whale</t>
  </si>
  <si>
    <t>fishname_Jelly Fish</t>
  </si>
  <si>
    <t>fishname_Jelly FishB</t>
  </si>
  <si>
    <t>fishname_Torpedo Ray</t>
  </si>
  <si>
    <t>fishname_Spotted Eagle Ray</t>
  </si>
  <si>
    <t>fishname_Manta Ray</t>
  </si>
  <si>
    <t>fishname_Thresher Shark</t>
  </si>
  <si>
    <t>fishname_Zebra Bullhead Shark</t>
  </si>
  <si>
    <t>fishname_Striped Marlin</t>
  </si>
  <si>
    <t>fishname_Killer Whale</t>
  </si>
  <si>
    <t>fishname_Sawfish</t>
  </si>
  <si>
    <t>fishname_Commerson Dolphin</t>
  </si>
  <si>
    <t>fishname_Pantropical Spotted Dolphin</t>
  </si>
  <si>
    <t>fishname_Hammerhead Shark</t>
  </si>
  <si>
    <t>fishname_Great White Shark</t>
  </si>
  <si>
    <t>fishname_Whale Shark</t>
  </si>
  <si>
    <t>fishname_MegaMouth</t>
  </si>
  <si>
    <t>fishname_Basking Shark</t>
  </si>
  <si>
    <t>fishname_Blue Whale</t>
  </si>
  <si>
    <t>fishname_Pink Dolphin</t>
  </si>
  <si>
    <t>fishname_Beluga Whale</t>
  </si>
  <si>
    <t>fishname_Migaloo</t>
  </si>
  <si>
    <t>fishname_Sperm Whale</t>
  </si>
  <si>
    <t>fishname_1000 Blue Whale</t>
  </si>
  <si>
    <t>Id</t>
    <phoneticPr fontId="4" type="noConversion"/>
  </si>
  <si>
    <t>FName</t>
    <phoneticPr fontId="4" type="noConversion"/>
  </si>
  <si>
    <t>GroupName</t>
    <phoneticPr fontId="4" type="noConversion"/>
  </si>
  <si>
    <t>nodata</t>
    <phoneticPr fontId="4" type="noConversion"/>
  </si>
  <si>
    <t>놀래기</t>
    <phoneticPr fontId="4" type="noConversion"/>
  </si>
  <si>
    <t>도티백</t>
    <phoneticPr fontId="4" type="noConversion"/>
  </si>
  <si>
    <t>해파리</t>
  </si>
  <si>
    <t>곰치</t>
    <phoneticPr fontId="4" type="noConversion"/>
  </si>
  <si>
    <t>수구리</t>
    <phoneticPr fontId="4" type="noConversion"/>
  </si>
  <si>
    <t>불가사리</t>
    <phoneticPr fontId="4" type="noConversion"/>
  </si>
  <si>
    <t>새치</t>
    <phoneticPr fontId="4" type="noConversion"/>
  </si>
  <si>
    <t>챠로미스</t>
    <phoneticPr fontId="4" type="noConversion"/>
  </si>
  <si>
    <t>안티아스</t>
    <phoneticPr fontId="4" type="noConversion"/>
  </si>
  <si>
    <t>참치</t>
    <phoneticPr fontId="4" type="noConversion"/>
  </si>
  <si>
    <t>바슬렛</t>
    <phoneticPr fontId="4" type="noConversion"/>
  </si>
  <si>
    <t>fish_ClownFish</t>
  </si>
  <si>
    <t>fish_Red ClownFish</t>
  </si>
  <si>
    <t>fish_Blue ClownFish</t>
  </si>
  <si>
    <t>fish_Snow Clown</t>
  </si>
  <si>
    <t>fish_Blue Tang</t>
  </si>
  <si>
    <t>fish_Achilles Tang</t>
  </si>
  <si>
    <t>fish_Yello Tang</t>
  </si>
  <si>
    <t>fish_Moorish Idol</t>
  </si>
  <si>
    <t>fish_Powder Blue Tang</t>
  </si>
  <si>
    <t>fish_Convict Tang</t>
  </si>
  <si>
    <t>fish_NasoTang</t>
  </si>
  <si>
    <t>fish_Spotted Mandarin Dragonet</t>
  </si>
  <si>
    <t>fish_Black and Gold Damsel</t>
  </si>
  <si>
    <t>fish_Blue Fin Damsel</t>
  </si>
  <si>
    <t>fish_Cross Damsel</t>
  </si>
  <si>
    <t>fish_Jewel Damsel</t>
  </si>
  <si>
    <t>fish_Burgess Butterfly</t>
  </si>
  <si>
    <t>fish_Raccoon Butterfly</t>
  </si>
  <si>
    <t>fish_Triangel Butterfly</t>
  </si>
  <si>
    <t>fish_Lined Butterfly</t>
  </si>
  <si>
    <t>fish_Pajama Cardinal</t>
  </si>
  <si>
    <t>fish_Juvenile Pinnate Spadefish</t>
  </si>
  <si>
    <t>fish_Bicolor Dottyback</t>
  </si>
  <si>
    <t>fish_Orchid Dottyback</t>
  </si>
  <si>
    <t>fish_Diadem Dottyback</t>
  </si>
  <si>
    <t>fish_Springer Dottyback</t>
  </si>
  <si>
    <t>fish_Fire Goby</t>
  </si>
  <si>
    <t>fish_Blue Banded Goby</t>
  </si>
  <si>
    <t>fish_Helfrich Goby</t>
  </si>
  <si>
    <t>fish_Seaslug</t>
  </si>
  <si>
    <t>fish_Randalls Goby</t>
  </si>
  <si>
    <t>fish_Scissortail Goby</t>
  </si>
  <si>
    <t>fish_Yellow Watchman Goby</t>
  </si>
  <si>
    <t>fish_Panther Grouper</t>
  </si>
  <si>
    <t>fish_Hatchet Fish</t>
  </si>
  <si>
    <t>fish_Eastern Smooth Boxfish</t>
  </si>
  <si>
    <t>fish_Cube BoxFish</t>
  </si>
  <si>
    <t>fish_Clown Trigger</t>
  </si>
  <si>
    <t>fish_Camel Cowfish</t>
  </si>
  <si>
    <t>fish_Longhorn Cowfish</t>
  </si>
  <si>
    <t>fish_Orange Cowfish</t>
  </si>
  <si>
    <t>fish_Juvenile Spotted Boxfish</t>
  </si>
  <si>
    <t>fish_Orange Seahorse</t>
  </si>
  <si>
    <t>fish_Black Seahorse</t>
  </si>
  <si>
    <t>fish_Brazilian Seahorse</t>
  </si>
  <si>
    <t>fish_Potbelly Seahorse</t>
  </si>
  <si>
    <t>fish_Pygmy Seahorse</t>
  </si>
  <si>
    <t>fish_Asfur Angel</t>
  </si>
  <si>
    <t>fish_French Angel</t>
  </si>
  <si>
    <t>fish_Queen Angelfish</t>
  </si>
  <si>
    <t>fish_BlobFish</t>
  </si>
  <si>
    <t>fish_Blue Parrotfish</t>
  </si>
  <si>
    <t>fish_Red Parrotfish</t>
  </si>
  <si>
    <t>fish_SeaPig</t>
  </si>
  <si>
    <t>fish_Oarfish</t>
  </si>
  <si>
    <t>fish_Kemps Ridley Turtle</t>
  </si>
  <si>
    <t>fish_Loggerhead Turtle</t>
  </si>
  <si>
    <t>fish_Blue Green Chromis</t>
  </si>
  <si>
    <t>fish_Black Bar Chromis</t>
  </si>
  <si>
    <t>fish_Dugon</t>
  </si>
  <si>
    <t>fish_Green Turtle</t>
  </si>
  <si>
    <t>fish_Hawksbill Turtle</t>
  </si>
  <si>
    <t>fish_Leatherback Turtle</t>
  </si>
  <si>
    <t>fish_Giant Squid</t>
  </si>
  <si>
    <t>fish_Piglet Squid</t>
  </si>
  <si>
    <t>fish_Colossal Squid</t>
  </si>
  <si>
    <t>fish_Leafy Seadragon</t>
  </si>
  <si>
    <t>fish_Ribbon Seadragon</t>
  </si>
  <si>
    <t>fish_Weedy Seadragon</t>
  </si>
  <si>
    <t>fish_Red Weedy Seadragon</t>
  </si>
  <si>
    <t>fish_Giant Seadragon</t>
  </si>
  <si>
    <t>fish_Octopus</t>
  </si>
  <si>
    <t>fish_Cuttle Fish</t>
  </si>
  <si>
    <t>fish_Vampire Squid</t>
  </si>
  <si>
    <t>fish_Bottleneck Dolphin</t>
  </si>
  <si>
    <t>fish_Shovelnose Guitarfish</t>
  </si>
  <si>
    <t>fish_Bowmouth Guitarfish</t>
  </si>
  <si>
    <t>fish_Giant Guitarfish</t>
  </si>
  <si>
    <t>fish_Sun Fish</t>
  </si>
  <si>
    <t>fish_Dwarf Whale</t>
  </si>
  <si>
    <t>fish_Jelly Fish</t>
  </si>
  <si>
    <t>fish_Jelly FishB</t>
  </si>
  <si>
    <t>fish_Torpedo Ray</t>
  </si>
  <si>
    <t>fish_Spotted Eagle Ray</t>
  </si>
  <si>
    <t>fish_Manta Ray</t>
  </si>
  <si>
    <t>fish_Thresher Shark</t>
  </si>
  <si>
    <t>fish_Zebra Bullhead Shark</t>
  </si>
  <si>
    <t>fish_Striped Marlin</t>
  </si>
  <si>
    <t>fish_Killer Whale</t>
  </si>
  <si>
    <t>fish_Sawfish</t>
  </si>
  <si>
    <t>fish_Irrawaddy Dolphin</t>
  </si>
  <si>
    <t>fish_Commerson Dolphin</t>
  </si>
  <si>
    <t>fish_Pantropical Spotted Dolphin</t>
  </si>
  <si>
    <t>fish_Hammerhead Shark</t>
  </si>
  <si>
    <t>fish_Great White Shark</t>
  </si>
  <si>
    <t>fish_Whale Shark</t>
  </si>
  <si>
    <t>fish_MegaMouth</t>
  </si>
  <si>
    <t>fish_Basking Shark</t>
  </si>
  <si>
    <t>fish_Blue Whale</t>
  </si>
  <si>
    <t>fish_Pink Dolphin</t>
  </si>
  <si>
    <t>fish_Beluga Whale</t>
  </si>
  <si>
    <t>fish_Migaloo</t>
  </si>
  <si>
    <t>fish_Sperm Whale</t>
  </si>
  <si>
    <t>fish_1000 Blue Whale</t>
  </si>
  <si>
    <t>Fish/clownfish</t>
  </si>
  <si>
    <t>Fish/red_clownfish</t>
  </si>
  <si>
    <t>Fish/blue_clownfish</t>
  </si>
  <si>
    <t>Fish/4_Snowfrake clown</t>
  </si>
  <si>
    <t>Fish/blue_tang</t>
  </si>
  <si>
    <t>Fish/17_Achilles Tang</t>
  </si>
  <si>
    <t>Fish/clown_tang</t>
  </si>
  <si>
    <t>Fish/yello_tang</t>
  </si>
  <si>
    <t>Fish/moorish_idol</t>
  </si>
  <si>
    <t>Fish/20_Powder Blue Tang</t>
  </si>
  <si>
    <t>Fish/21_Convict Tang</t>
  </si>
  <si>
    <t>Fish/22_NasoTang</t>
  </si>
  <si>
    <t>Fish/spotted_mandarin_dragonet</t>
  </si>
  <si>
    <t>Fish/black_and_gold_damsel</t>
  </si>
  <si>
    <t>Fish/25_Blue Fin Damsel</t>
  </si>
  <si>
    <t>Fish/26_Cross Damsel</t>
  </si>
  <si>
    <t>Fish/jewel_damsel</t>
  </si>
  <si>
    <t>Fish/burgess_butterfly</t>
  </si>
  <si>
    <t>Fish/raccoon_butterfly</t>
  </si>
  <si>
    <t>Fish/triangel_butterfly</t>
  </si>
  <si>
    <t>Fish/45_Lined Butterfly</t>
  </si>
  <si>
    <t>Fish/pajama_cardinal</t>
  </si>
  <si>
    <t>Fish/23_Jevenile Pinnate Spadefish</t>
  </si>
  <si>
    <t>Fish/37_Bicolor Dottyback</t>
  </si>
  <si>
    <t>Fish/38_Orchid Dottyback</t>
  </si>
  <si>
    <t>Fish/39_Diadem Dottyback</t>
  </si>
  <si>
    <t>Fish/springer_dottyback</t>
  </si>
  <si>
    <t>Fish/fire_goby</t>
  </si>
  <si>
    <t>Fish/blue_banded_goby</t>
  </si>
  <si>
    <t>Fish/helfrich_goby</t>
  </si>
  <si>
    <t>Fish/14_Seaslug</t>
  </si>
  <si>
    <t>Fish/13_Randalls Goby</t>
  </si>
  <si>
    <t>Fish/14_Scissortail Goby</t>
  </si>
  <si>
    <t>Fish/yellow_watchman_goby</t>
  </si>
  <si>
    <t>Fish/3_Panther Grouper</t>
  </si>
  <si>
    <t>Fish/hatchet_fish</t>
  </si>
  <si>
    <t>Fish/eastern_smooth_boxfish</t>
  </si>
  <si>
    <t>Fish/cube_boxfish</t>
  </si>
  <si>
    <t>Fish/8_Clown Trigger</t>
  </si>
  <si>
    <t>Fish/camel_cowfish</t>
  </si>
  <si>
    <t>Fish/longhorn_cowfish</t>
  </si>
  <si>
    <t>Fish/orange_cowfish</t>
  </si>
  <si>
    <t>Fish/juvenile_spotted_boxfish</t>
  </si>
  <si>
    <t>Fish/orange_seahorse</t>
  </si>
  <si>
    <t>Fish/black_seahorse</t>
  </si>
  <si>
    <t>Fish/brazilian_seahorse</t>
  </si>
  <si>
    <t>Fish/potbelly_seahorse</t>
  </si>
  <si>
    <t>Fish/pygmy_seahorse</t>
  </si>
  <si>
    <t>Fish/asfur_angel</t>
  </si>
  <si>
    <t>Fish/french_angel</t>
  </si>
  <si>
    <t>Fish/36_QueenAngelFish</t>
  </si>
  <si>
    <t>Fish/blobfish</t>
  </si>
  <si>
    <t>Fish/blue_parrotfish</t>
  </si>
  <si>
    <t>Fish/red_parrotfish</t>
  </si>
  <si>
    <t>Fish/seapig</t>
  </si>
  <si>
    <t>Fish/8_Oarfish</t>
  </si>
  <si>
    <t>Fish/kemps_ridley</t>
  </si>
  <si>
    <t>Fish/loggerhead_turtle</t>
  </si>
  <si>
    <t>Fish/27_Blue Green Chromis</t>
  </si>
  <si>
    <t>Fish/28_Black Bar Chromis</t>
  </si>
  <si>
    <t>Fish/dugong</t>
  </si>
  <si>
    <t>Fish/green_turtle</t>
  </si>
  <si>
    <t>Fish/hawksbill_turtle</t>
  </si>
  <si>
    <t>Fish/leatherback_turtle</t>
  </si>
  <si>
    <t>Fish/6_Giant Squid</t>
  </si>
  <si>
    <t>Fish/4_Piglet_Squid</t>
  </si>
  <si>
    <t>Fish/7_Colossal_Squid</t>
  </si>
  <si>
    <t>Fish/5_Leafy_Seadragon</t>
  </si>
  <si>
    <t>Fish/6_Ribbon_Seadragon</t>
  </si>
  <si>
    <t>Fish/7_Weedy_Seadragon</t>
  </si>
  <si>
    <t>Fish/8_Red_Weedy_Seadragon</t>
  </si>
  <si>
    <t>Fish/9_Giant_Seadragon</t>
  </si>
  <si>
    <t>Fish/1_Octopus</t>
  </si>
  <si>
    <t>Fish/2_CuttleFish</t>
  </si>
  <si>
    <t>Fish/3_Vampire_Squid</t>
  </si>
  <si>
    <t>Fish/bottleneck_dolphin</t>
  </si>
  <si>
    <t>Fish/shovel_nose_guatafish</t>
  </si>
  <si>
    <t>Fish/bowmouth_guatafish</t>
  </si>
  <si>
    <t>Fish/giant_guatafish</t>
  </si>
  <si>
    <t>Fish/sun_fish</t>
  </si>
  <si>
    <t>Fish/dwarf_whale</t>
  </si>
  <si>
    <t>Fish/0_jellyFish</t>
  </si>
  <si>
    <t>Fish/1_jellyFishB</t>
  </si>
  <si>
    <t>Fish/torpedo_ray</t>
  </si>
  <si>
    <t>Fish/spotted_eagle_ray</t>
  </si>
  <si>
    <t>Fish/385_Chevron manta ray</t>
  </si>
  <si>
    <t>Fish/0_Thresher Shark</t>
  </si>
  <si>
    <t>Fish/zebra_bullhead_shark</t>
  </si>
  <si>
    <t>Fish/striped_marlin</t>
  </si>
  <si>
    <t>Fish/killer_whale</t>
  </si>
  <si>
    <t>Fish/sawfish</t>
  </si>
  <si>
    <t>Fish/irrawaddy_dolphin</t>
  </si>
  <si>
    <t>Fish/commerson_dolphin</t>
  </si>
  <si>
    <t>Fish/pantropical_spotted_dolphin</t>
  </si>
  <si>
    <t>Fish/3_Hammerhead Shark</t>
  </si>
  <si>
    <t>Fish/great_white_shark</t>
  </si>
  <si>
    <t>Fish/whale_shark</t>
  </si>
  <si>
    <t>Fish/6_MegaMouth</t>
  </si>
  <si>
    <t>Fish/4_Basking_Shark</t>
  </si>
  <si>
    <t>Fish/6_Blue Whale</t>
  </si>
  <si>
    <t>Fish/pink_dolphin</t>
  </si>
  <si>
    <t>Fish/beluga_whale</t>
  </si>
  <si>
    <t>Fish/8_Migaloo</t>
  </si>
  <si>
    <t>Fish/sperm_whale</t>
  </si>
  <si>
    <t>Fish/1000_bluewhale</t>
  </si>
  <si>
    <t>FName</t>
    <phoneticPr fontId="1" type="noConversion"/>
  </si>
  <si>
    <t>0_SmallFishContainerA</t>
  </si>
  <si>
    <t>1_LargeFishContainerA</t>
  </si>
  <si>
    <t>1_LargeFishContainerB</t>
  </si>
  <si>
    <t>0_SmallFishContainerB</t>
  </si>
  <si>
    <t>2_UniqueFishContainerA</t>
  </si>
  <si>
    <t>2_UniqueFishContainerB</t>
  </si>
  <si>
    <t>12_Tuna</t>
  </si>
  <si>
    <t>3_SeahorseFishContainer</t>
  </si>
  <si>
    <t>7_Ray</t>
  </si>
  <si>
    <t>5_Tutle</t>
  </si>
  <si>
    <t>11_Dugong</t>
  </si>
  <si>
    <t>6_DolphinFishContainer</t>
  </si>
  <si>
    <t>10_SunFish</t>
  </si>
  <si>
    <t>4_Jellyfish</t>
  </si>
  <si>
    <t>8_Shark</t>
  </si>
  <si>
    <t>9_Whale</t>
  </si>
  <si>
    <t>use_skill</t>
  </si>
  <si>
    <t>skill_levelup</t>
  </si>
  <si>
    <t>fishname_ClownFish</t>
  </si>
  <si>
    <t>fishname_Emperor Angel</t>
  </si>
  <si>
    <t>fish_Emperor Angel</t>
  </si>
  <si>
    <t>fishname_Bicolor Angel</t>
  </si>
  <si>
    <t>fish_Bicolor Angel</t>
  </si>
  <si>
    <t>fishname_Scribbled Angelfish</t>
  </si>
  <si>
    <t>fishname_Peppermint Angelfish</t>
  </si>
  <si>
    <t>fishname_Mahi Mahi</t>
  </si>
  <si>
    <t>fish_Mahi Mahi</t>
  </si>
  <si>
    <t>fishname_Coelacanth</t>
  </si>
  <si>
    <t>fishname_Bathynomus</t>
  </si>
  <si>
    <t>fishname_Nautilus</t>
  </si>
  <si>
    <t>fishname_Irrawaddy Dolphin</t>
  </si>
  <si>
    <t>fishname_Narwhal</t>
  </si>
  <si>
    <t>fishname_Gulper Eel</t>
  </si>
  <si>
    <t>임페리얼 앤젤</t>
  </si>
  <si>
    <t>바이컬러 앤젤</t>
  </si>
  <si>
    <t>스크리블드 앤젤</t>
  </si>
  <si>
    <t>페퍼민트 앤젤</t>
  </si>
  <si>
    <t>마히마히</t>
  </si>
  <si>
    <t>실러캔스</t>
  </si>
  <si>
    <t>바티노무스</t>
  </si>
  <si>
    <t>앵무조개</t>
  </si>
  <si>
    <t>일각고래</t>
  </si>
  <si>
    <t>풍선장어</t>
  </si>
  <si>
    <t>fish_Scribbled Angelfish</t>
    <phoneticPr fontId="1" type="noConversion"/>
  </si>
  <si>
    <t>fish_Peppermint Angelfish</t>
    <phoneticPr fontId="1" type="noConversion"/>
  </si>
  <si>
    <t>fish_Coelacanth</t>
    <phoneticPr fontId="1" type="noConversion"/>
  </si>
  <si>
    <t>fish_Bathynomus</t>
    <phoneticPr fontId="1" type="noConversion"/>
  </si>
  <si>
    <t>fish_Nautilus</t>
    <phoneticPr fontId="1" type="noConversion"/>
  </si>
  <si>
    <t>fish_Gulper Eel</t>
    <phoneticPr fontId="1" type="noConversion"/>
  </si>
  <si>
    <t>Fish/31_Bicolor Angel</t>
  </si>
  <si>
    <t>Fish/34_SCRIBBED ANGEL</t>
  </si>
  <si>
    <t>Fish/35_Peppermint Angelfish</t>
  </si>
  <si>
    <t>Fish/4_Mahi mahi</t>
  </si>
  <si>
    <t>Fish/5_Coelacanth</t>
  </si>
  <si>
    <t>Fish/1_Bathynomus</t>
  </si>
  <si>
    <t>Fish/2_Nautilus</t>
  </si>
  <si>
    <t>Fish/7_Gulper_Eel</t>
  </si>
  <si>
    <t>fish_Narwhal_1</t>
    <phoneticPr fontId="1" type="noConversion"/>
  </si>
  <si>
    <t>Fish/3_Narwhal</t>
    <phoneticPr fontId="1" type="noConversion"/>
  </si>
  <si>
    <t>Fish/30_Emperor Angel</t>
    <phoneticPr fontId="1" type="noConversion"/>
  </si>
  <si>
    <t>buy_coral</t>
  </si>
  <si>
    <t>have_fish_kind</t>
  </si>
  <si>
    <t>have_fish</t>
  </si>
  <si>
    <t>attendance_count</t>
  </si>
  <si>
    <t>touch_stone</t>
  </si>
  <si>
    <t>use_gem</t>
  </si>
  <si>
    <t>ad_view</t>
  </si>
  <si>
    <t>daily_mission_clear</t>
  </si>
  <si>
    <t>login_count_per_day</t>
  </si>
  <si>
    <t>coral_levelup</t>
  </si>
  <si>
    <t>set_fish_kind</t>
  </si>
  <si>
    <t>have_fish_evol_type</t>
  </si>
  <si>
    <t>skill_levelup_all</t>
  </si>
  <si>
    <t>have_fish_all</t>
  </si>
  <si>
    <t>open_mystery_box</t>
  </si>
  <si>
    <t>artifact_levelup_all</t>
  </si>
  <si>
    <t>연약한 가지산호 필요</t>
  </si>
  <si>
    <t>크라운 종 10마리 필요</t>
  </si>
  <si>
    <t>블루 크라운 5마리 보유</t>
  </si>
  <si>
    <t>신비의 불가사리 필요</t>
  </si>
  <si>
    <t>고비 종 5마리 필요</t>
  </si>
  <si>
    <t>출석 2일</t>
  </si>
  <si>
    <t>새하얀 말미잘 필요</t>
  </si>
  <si>
    <t>산호석 터치하기 1000회</t>
  </si>
  <si>
    <t>진주빛 말미잘 필요</t>
  </si>
  <si>
    <t>탱 종 5마리 필요</t>
  </si>
  <si>
    <t>보석 사용하기 500개</t>
  </si>
  <si>
    <t>푸른 버섯돌산호 필요</t>
  </si>
  <si>
    <t>담셀 종 3마리 필요</t>
  </si>
  <si>
    <t>광고 시청하기 30회</t>
  </si>
  <si>
    <t>푸른 양배추산호 필요</t>
  </si>
  <si>
    <t>도티백 종 3마리 필요</t>
  </si>
  <si>
    <t>싱그러운 해초 필요</t>
  </si>
  <si>
    <t>크라운 종 5마리 필요</t>
  </si>
  <si>
    <t>일일 미션 클리어하기 10회</t>
  </si>
  <si>
    <t>붉은 부채산호 필요</t>
  </si>
  <si>
    <t>하루에 5회 접속</t>
  </si>
  <si>
    <t>앤젤 종 30마리 필요</t>
  </si>
  <si>
    <t>연약한 가지산호 레벨 3000 달성</t>
  </si>
  <si>
    <t>진홍 나팔돌산호 필요</t>
  </si>
  <si>
    <t>앤젤 종 5마리 필요</t>
  </si>
  <si>
    <t>다이아뎀 도티백 5마리 보유</t>
  </si>
  <si>
    <t>도티백 류 15마리 배치하기</t>
  </si>
  <si>
    <t>일일 미션 클리어하기 25회</t>
  </si>
  <si>
    <t>화산 폭발스킬 5 레벨 달성</t>
  </si>
  <si>
    <t>탱 종 50마리 필요</t>
  </si>
  <si>
    <t>일반 물고기 25종 수집</t>
  </si>
  <si>
    <t>하루에 20회 접속</t>
  </si>
  <si>
    <t>초록 넓적산호 필요</t>
  </si>
  <si>
    <t>나비 종 3마리 필요</t>
  </si>
  <si>
    <t>패럿피쉬 종 2마리 필요</t>
  </si>
  <si>
    <t>진화 물고기 10 마리 수집하기</t>
  </si>
  <si>
    <t>출석 12일</t>
  </si>
  <si>
    <t>아무 스킬 사용 70회</t>
  </si>
  <si>
    <t>광고 시청하기 50회</t>
  </si>
  <si>
    <t>출석 5일</t>
  </si>
  <si>
    <t>모든 스킬 10레벨 달성하기</t>
  </si>
  <si>
    <t>별혹산호 필요</t>
  </si>
  <si>
    <t>물고기 50마리 보유</t>
  </si>
  <si>
    <t>산호석 터치하기 100000회</t>
  </si>
  <si>
    <t>빛나는 바다꽃 필요</t>
  </si>
  <si>
    <t>복어 종 3마리 필요</t>
  </si>
  <si>
    <t>해마 류 15마리 배치하기</t>
  </si>
  <si>
    <t>주홍빛 사슴뿔 산호 필요</t>
  </si>
  <si>
    <t>일반 물고기 75종 수집</t>
  </si>
  <si>
    <t>모든 스킬 11레벨 달성하기</t>
  </si>
  <si>
    <t>물고기 200마리 보유</t>
  </si>
  <si>
    <t>하얀 흔들 말미잘 필요</t>
  </si>
  <si>
    <t>모든 스킬 15레벨 달성하기</t>
  </si>
  <si>
    <t>신비의 상자 개봉 100회</t>
  </si>
  <si>
    <t>물고기 55마리 보유</t>
  </si>
  <si>
    <t>분홍 나무 산호 필요</t>
  </si>
  <si>
    <t>보석 사용하기 10000개</t>
  </si>
  <si>
    <t>광고 시청하기 120회</t>
  </si>
  <si>
    <t>일일 미션 클리어하기 150회</t>
  </si>
  <si>
    <t>물고기 70마리 보유</t>
  </si>
  <si>
    <t>일반 물고기 78종 수집</t>
  </si>
  <si>
    <t>물고기 75마리 보유</t>
  </si>
  <si>
    <t>물고기 80마리 보유</t>
  </si>
  <si>
    <t>산호석 터치하기 200000회</t>
  </si>
  <si>
    <t>모든 아티팩트 5레벨 달성하기</t>
  </si>
  <si>
    <t>해룡 종 5마리 필요</t>
  </si>
  <si>
    <t>사파이어빛 부채산호 필요</t>
  </si>
  <si>
    <t>해마 종 3마리 필요</t>
  </si>
  <si>
    <t>보름달 물 해파리 5마리 보유</t>
  </si>
  <si>
    <t>푸른 원탁 산호 필요</t>
  </si>
  <si>
    <t>연체동물 종 3마리 필요</t>
  </si>
  <si>
    <t>진화 물고기 30 마리 수집하기</t>
  </si>
  <si>
    <t>출석 15일</t>
  </si>
  <si>
    <t>연체동물 종 5마리 필요</t>
  </si>
  <si>
    <t>아무 스킬 사용 200회</t>
  </si>
  <si>
    <t>물고기 60마리 보유</t>
  </si>
  <si>
    <t>광고 시청하기 200회</t>
  </si>
  <si>
    <t>초록빛 키다리 해초 필요</t>
  </si>
  <si>
    <t>백상어 15마리 보유</t>
  </si>
  <si>
    <t>물고기 250마리 보유</t>
  </si>
  <si>
    <t>출석 10일</t>
  </si>
  <si>
    <t>일반 물고기 99종 수집</t>
  </si>
  <si>
    <t>루비빛 양배추산호 필요</t>
  </si>
  <si>
    <t>물고기 45마리 보유</t>
  </si>
  <si>
    <t>물고기 65마리 보유</t>
  </si>
  <si>
    <t>모든 스킬 20레벨 달성하기</t>
  </si>
  <si>
    <t>이라와디 돌고래 10마리 보유</t>
  </si>
  <si>
    <t>신비의 상자 개봉 200회</t>
  </si>
  <si>
    <t>일반 물고기 70종 수집</t>
  </si>
  <si>
    <t>진화 물고기 50 마리 수집하기</t>
  </si>
  <si>
    <t>흰긴수염고래 1마리 보유</t>
  </si>
  <si>
    <t>일반 물고기 114종 수집</t>
  </si>
  <si>
    <t>엄지도치</t>
  </si>
  <si>
    <t>우파루파</t>
  </si>
  <si>
    <t>바다수달</t>
  </si>
  <si>
    <t>아기 펭귄</t>
  </si>
  <si>
    <t>하프 물범</t>
  </si>
  <si>
    <t>매너티</t>
  </si>
  <si>
    <t>아기 악어 거북</t>
  </si>
  <si>
    <t>한 쌍의 피그미 참고래</t>
  </si>
  <si>
    <t>fishname_lethotremus_awae</t>
  </si>
  <si>
    <t>fish_lethotremus_awae</t>
  </si>
  <si>
    <t>Fish/lethotremus_awae</t>
  </si>
  <si>
    <t>fishname_0_Axolotls</t>
  </si>
  <si>
    <t>Fish/0_Axolotls</t>
  </si>
  <si>
    <t>fishname_Marine otte</t>
  </si>
  <si>
    <t>fish_Marine otte</t>
  </si>
  <si>
    <t>Fish/238_Marine otte</t>
  </si>
  <si>
    <t>fishname_Baby Penguin</t>
  </si>
  <si>
    <t>fish_Baby Penguin</t>
  </si>
  <si>
    <t>Fish/1_Baby Penguin</t>
  </si>
  <si>
    <t>fishname_Harp Seal</t>
  </si>
  <si>
    <t>fish_Harp Seal</t>
  </si>
  <si>
    <t>Fish/1_HarpSeal</t>
  </si>
  <si>
    <t>fishname_Manatee</t>
  </si>
  <si>
    <t>fish_Manatee</t>
  </si>
  <si>
    <t>Fish/311_Manatee</t>
  </si>
  <si>
    <t>fish_baby_alligator_snapping_turtle</t>
  </si>
  <si>
    <t>Fish/baby_alligator_snapping_turtle</t>
  </si>
  <si>
    <t>fishname_A pair of Pigmy Right Whale</t>
  </si>
  <si>
    <t>fish_A pair of Pigmy Right Whale</t>
  </si>
  <si>
    <t>Fish/312_A pair of Pigmy Right Whale</t>
  </si>
  <si>
    <t>세베 크라운피쉬</t>
  </si>
  <si>
    <t>프로스트바이트 크라운</t>
  </si>
  <si>
    <t>토마토 크라운피쉬</t>
  </si>
  <si>
    <t>저갈로 크라운피쉬</t>
  </si>
  <si>
    <t>와이오밍 화이트 크라운피쉬</t>
  </si>
  <si>
    <t>스노우 스톰 크라운피쉬</t>
  </si>
  <si>
    <t>블랙핀 코랄 고비</t>
  </si>
  <si>
    <t>화이트캡 고비</t>
  </si>
  <si>
    <t>폭죽 고비</t>
  </si>
  <si>
    <t>옐로우노즈 프론 고비</t>
  </si>
  <si>
    <t>포이즌 고비</t>
  </si>
  <si>
    <t>퍼플 고비</t>
  </si>
  <si>
    <t>유니콘 탱</t>
  </si>
  <si>
    <t>세일핀탱</t>
  </si>
  <si>
    <t>화이트테일 탱</t>
  </si>
  <si>
    <t>화이트 탱</t>
  </si>
  <si>
    <t>오렌지 숄더 탱</t>
  </si>
  <si>
    <t>토미니 탱</t>
  </si>
  <si>
    <t>벨벳 담셀</t>
  </si>
  <si>
    <t>핑크 스미스 담셀</t>
  </si>
  <si>
    <t>스리 스트라이프 담셀</t>
  </si>
  <si>
    <t>암본 담셀</t>
  </si>
  <si>
    <t>오렌지 라인 챠로미스 담셀</t>
  </si>
  <si>
    <t>키홀 엔젤피시</t>
  </si>
  <si>
    <t>망고 엔젤피쉬</t>
  </si>
  <si>
    <t>미드나잇 엔젤피쉬</t>
  </si>
  <si>
    <t>퍼플 마스크 엔젤피쉬</t>
  </si>
  <si>
    <t>그린 네온 엔젤피쉬</t>
  </si>
  <si>
    <t>마제스틱 엔젤</t>
  </si>
  <si>
    <t>환도상어</t>
  </si>
  <si>
    <t>레몬 샤크</t>
  </si>
  <si>
    <t>그레이 뱀부샤크</t>
  </si>
  <si>
    <t>강남상어</t>
  </si>
  <si>
    <t>그레이스풀 샤크</t>
  </si>
  <si>
    <t>드워프 랜턴샤크</t>
  </si>
  <si>
    <t>필리핀 나비</t>
  </si>
  <si>
    <t>레드테일 나비</t>
  </si>
  <si>
    <t>포아이 나비</t>
  </si>
  <si>
    <t>롱노즈 나비</t>
  </si>
  <si>
    <t>자스터 나비</t>
  </si>
  <si>
    <t>새들 나비</t>
  </si>
  <si>
    <t>놋트헤드 패럿피쉬</t>
  </si>
  <si>
    <t>스톱라이트 패롯피쉬</t>
  </si>
  <si>
    <t>바이칼라 패롯피시</t>
  </si>
  <si>
    <t>스펙타클드 패롯피시</t>
  </si>
  <si>
    <t>패시픽 롱노즈 패롯피시</t>
  </si>
  <si>
    <t>트라이칼라 패롯피쉬</t>
  </si>
  <si>
    <t>포큐파인 푸퍼</t>
  </si>
  <si>
    <t>발렌티니스 복어</t>
  </si>
  <si>
    <t>골든 푸퍼</t>
  </si>
  <si>
    <t>파푸아 토비 푸퍼</t>
  </si>
  <si>
    <t>화이트바 박스피쉬</t>
  </si>
  <si>
    <t>마스크드 푸퍼</t>
  </si>
  <si>
    <t>복해마</t>
  </si>
  <si>
    <t>신도 해마</t>
  </si>
  <si>
    <t>가시 해마</t>
  </si>
  <si>
    <t>호랑이꼬리 해마</t>
  </si>
  <si>
    <t>불넥 해마</t>
  </si>
  <si>
    <t>퍼시픽 해마</t>
  </si>
  <si>
    <t>캐스퍼 문어</t>
  </si>
  <si>
    <t>줄무늬 문어</t>
  </si>
  <si>
    <t>백점 문어</t>
  </si>
  <si>
    <t>아기 우무 문어</t>
  </si>
  <si>
    <t>캐리비안 리프 문어</t>
  </si>
  <si>
    <t>돼지코 거북</t>
  </si>
  <si>
    <t>늑대 거북</t>
  </si>
  <si>
    <t>악어 거북</t>
  </si>
  <si>
    <t>바키타 돌고래</t>
  </si>
  <si>
    <t>긴부리 돌고래</t>
  </si>
  <si>
    <t>짧은부리 참돌고래</t>
  </si>
  <si>
    <t>흰머리돌고래</t>
  </si>
  <si>
    <t>샛돌고래</t>
  </si>
  <si>
    <t>원핀 전기 가오리</t>
  </si>
  <si>
    <t>나비 가오리</t>
  </si>
  <si>
    <t>고스트 샤크</t>
  </si>
  <si>
    <t>아라비안 카펫 샤크</t>
  </si>
  <si>
    <t>그린란드 상어</t>
  </si>
  <si>
    <t>체인 캣샤크</t>
  </si>
  <si>
    <t>멕시칸 혼샤크</t>
  </si>
  <si>
    <t>쿠키컷터 샤크</t>
  </si>
  <si>
    <t>보리 고래</t>
  </si>
  <si>
    <t>들쇠 고래</t>
  </si>
  <si>
    <t>들고양이 고래</t>
  </si>
  <si>
    <t>고양이 고래</t>
  </si>
  <si>
    <t>아기 일각고래</t>
  </si>
  <si>
    <t>fishname_sebae_anemonefish</t>
  </si>
  <si>
    <t>fish_sebae_anemonefish</t>
  </si>
  <si>
    <t>Fish/sebae_anemonefish</t>
  </si>
  <si>
    <t>fishname_froastbite_clownfish</t>
  </si>
  <si>
    <t>fish_froastbite_clownfish</t>
  </si>
  <si>
    <t>Fish/froastbite_clownfish</t>
  </si>
  <si>
    <t>fishname_Tomato Clownfish</t>
  </si>
  <si>
    <t>fish_Tomato Clownfish</t>
  </si>
  <si>
    <t>Fish/303_Tomato Clownfish</t>
  </si>
  <si>
    <t>fishname_Juggalo Clownfish</t>
  </si>
  <si>
    <t>fish_Juggalo Clownfish</t>
  </si>
  <si>
    <t>Fish/187_Juggalo Clownfish</t>
  </si>
  <si>
    <t>fishname_Wyoming White Clownfish</t>
  </si>
  <si>
    <t>fish_Wyoming White Clownfish</t>
  </si>
  <si>
    <t>Fish/189_Wyoming White Ocellaris Clownfish</t>
  </si>
  <si>
    <t>fishname_snow_storm_clownfish</t>
  </si>
  <si>
    <t>fish_snow_storm_clownfish</t>
  </si>
  <si>
    <t>Fish/2567_snow_storm_clownfish</t>
  </si>
  <si>
    <t>fishname_blackfin_coral_goby</t>
  </si>
  <si>
    <t>fish_blackfin_coral_goby</t>
  </si>
  <si>
    <t>Fish/868_blackfin_coral_goby</t>
  </si>
  <si>
    <t>fishname_whitecap_goby</t>
  </si>
  <si>
    <t>fish_whitecap_goby</t>
  </si>
  <si>
    <t>Fish/869_whitecap_goby</t>
  </si>
  <si>
    <t>fishname_Firecracker Goby</t>
  </si>
  <si>
    <t>fish_Firecracker Goby</t>
  </si>
  <si>
    <t>Fish/190_Firecracker Goby</t>
  </si>
  <si>
    <t>fishname_yellow_nose_prawn_goby</t>
  </si>
  <si>
    <t>fish_yellow_nose_prawn_goby</t>
  </si>
  <si>
    <t>Fish/927_yellow_nose_prawn_goby</t>
  </si>
  <si>
    <t>fishname_poison_goby</t>
  </si>
  <si>
    <t>fish_poison_goby</t>
  </si>
  <si>
    <t>Fish/928_poison_goby</t>
  </si>
  <si>
    <t>fishname_purple_fire_goby</t>
  </si>
  <si>
    <t>fish_purple_fire_goby</t>
  </si>
  <si>
    <t>Fish/purple_fire_goby</t>
  </si>
  <si>
    <t>fishname_Bluespine Unicorn Tang</t>
  </si>
  <si>
    <t>fish_Bluespine Unicorn Tang</t>
  </si>
  <si>
    <t>Fish/197_Bluespine Unicorn Tang</t>
  </si>
  <si>
    <t>fishname_Sailfin Tang</t>
  </si>
  <si>
    <t>fish_Sailfin Tang</t>
  </si>
  <si>
    <t>Fish/199_Sailfin Tang</t>
  </si>
  <si>
    <t>fishname_White Tail Tang</t>
  </si>
  <si>
    <t>fish_White Tail Tang</t>
  </si>
  <si>
    <t>Fish/200_White Tail Tang</t>
  </si>
  <si>
    <t>fishname_White Tang</t>
  </si>
  <si>
    <t>fish_White Tang</t>
  </si>
  <si>
    <t>Fish/201_White Tang</t>
  </si>
  <si>
    <t>fishname_orange_shoulder_tang</t>
  </si>
  <si>
    <t>fish_orange_shoulder_tang</t>
  </si>
  <si>
    <t>Fish/orange_shoulder_tang</t>
  </si>
  <si>
    <t>fishname_tomoni_tang</t>
  </si>
  <si>
    <t>fish_tomoni_tang</t>
  </si>
  <si>
    <t>Fish/tomoni_tang</t>
  </si>
  <si>
    <t>fishname_Neon Velvet Damsel</t>
  </si>
  <si>
    <t>fish_Neon Velvet Damsel</t>
  </si>
  <si>
    <t>Fish/194_Neon Velvet Damsel</t>
  </si>
  <si>
    <t>fishname_Pink Smith Damsel</t>
  </si>
  <si>
    <t>fish_Pink Smith Damsel</t>
  </si>
  <si>
    <t>Fish/195_Pink Smith Damsel</t>
  </si>
  <si>
    <t>fishname_Three Stripe Damsel</t>
  </si>
  <si>
    <t>fish_Three Stripe Damsel</t>
  </si>
  <si>
    <t>Fish/196_Three Stripe Damsel</t>
  </si>
  <si>
    <t>fishname_ambon_damsel</t>
  </si>
  <si>
    <t>fish_ambon_damsel</t>
  </si>
  <si>
    <t>Fish/2566_ambon_damsel</t>
  </si>
  <si>
    <t>fishname_orange_line_chromis_damsel</t>
  </si>
  <si>
    <t>fish_orange_line_chromis_damsel</t>
  </si>
  <si>
    <t>Fish/orange_line_chromis_damsel</t>
  </si>
  <si>
    <t>fishname_keyhole_angelfish</t>
  </si>
  <si>
    <t>fish_keyhole_angelfish</t>
  </si>
  <si>
    <t>Fish/682_keyhole_angelfish</t>
  </si>
  <si>
    <t>fishname_mango_angelfish</t>
  </si>
  <si>
    <t>fish_mango_angelfish</t>
  </si>
  <si>
    <t>Fish/697_mango_angelfish</t>
  </si>
  <si>
    <t>fishname_midnight_angelfish</t>
  </si>
  <si>
    <t>fish_midnight_angelfish</t>
  </si>
  <si>
    <t>Fish/midnight_angelfish</t>
  </si>
  <si>
    <t>fishname_purplemask_angelfish</t>
  </si>
  <si>
    <t>fish_purplemask_angelfish</t>
  </si>
  <si>
    <t>Fish/1035_purplemask_angelfish</t>
  </si>
  <si>
    <t>fishname_green_neon_angelfish</t>
  </si>
  <si>
    <t>fish_green_neon_angelfish</t>
  </si>
  <si>
    <t>Fish/green_neon_angelfish</t>
  </si>
  <si>
    <t>fishname_majestic_angel</t>
  </si>
  <si>
    <t>fish_majestic_angel</t>
  </si>
  <si>
    <t>Fish/majestic_angel</t>
  </si>
  <si>
    <t>fishname_pelagic_thresher_shark</t>
  </si>
  <si>
    <t>fish_pelagic_thresher_shark</t>
  </si>
  <si>
    <t>Fish/906_pelagic_thresher_shark</t>
  </si>
  <si>
    <t>fishname_lemon_shark</t>
  </si>
  <si>
    <t>fish_lemon_shark</t>
  </si>
  <si>
    <t>Fish/1042_lemon_shark</t>
  </si>
  <si>
    <t>fishname_grey_bambooshark</t>
  </si>
  <si>
    <t>fish_grey_bambooshark</t>
  </si>
  <si>
    <t>Fish/1104_grey_bambooshark</t>
  </si>
  <si>
    <t>fishname_crocodile_shark</t>
  </si>
  <si>
    <t>fish_crocodile_shark</t>
  </si>
  <si>
    <t>Fish/838_crocodile_shark</t>
  </si>
  <si>
    <t>fishname_graceful_shark</t>
  </si>
  <si>
    <t>fish_graceful_shark</t>
  </si>
  <si>
    <t>Fish/967_graceful_shark</t>
  </si>
  <si>
    <t>fishname_dwarf_lanternshark</t>
  </si>
  <si>
    <t>fish_dwarf_lanternshark</t>
  </si>
  <si>
    <t>Fish/dwarf_lanternshark</t>
  </si>
  <si>
    <t>fishname_philippine_butterflyfish</t>
  </si>
  <si>
    <t>fish_philippine_butterflyfish</t>
  </si>
  <si>
    <t>Fish/899_philippine_butterflyfish</t>
  </si>
  <si>
    <t>fishname_redtail_butterflyfish</t>
  </si>
  <si>
    <t>fish_redtail_butterflyfish</t>
  </si>
  <si>
    <t>Fish/961_redtail_butterflyfish</t>
  </si>
  <si>
    <t>fishname_Foureye Butterfly</t>
  </si>
  <si>
    <t>fish_Foureye Butterfly</t>
  </si>
  <si>
    <t>Fish/230_Foureye Butterfly</t>
  </si>
  <si>
    <t>fishname_Longnose Butterfly</t>
  </si>
  <si>
    <t>fish_Longnose Butterfly</t>
  </si>
  <si>
    <t>Fish/231_Longnose Butterfly</t>
  </si>
  <si>
    <t>fishname_Zoster Butterflyfish</t>
  </si>
  <si>
    <t>fish_Zoster Butterflyfish</t>
  </si>
  <si>
    <t>Fish/371_Zoster Butterfly</t>
  </si>
  <si>
    <t>fishname_Saddle Butterflyfish</t>
  </si>
  <si>
    <t>fish_Saddle Butterflyfish</t>
  </si>
  <si>
    <t>Fish/372_Saddle Butterfly</t>
  </si>
  <si>
    <t>fishname_knothead_parrotfish</t>
  </si>
  <si>
    <t>fish_knothead_parrotfish</t>
  </si>
  <si>
    <t>Fish/700_knothead_parrotfish</t>
  </si>
  <si>
    <t>fishname_stoplight_parrotfish</t>
  </si>
  <si>
    <t>fish_stoplight_parrotfish</t>
  </si>
  <si>
    <t>Fish/653_stoplight_parrotfish</t>
  </si>
  <si>
    <t>fishname_bicolour_parrotfish</t>
  </si>
  <si>
    <t>fish_bicolour_parrotfish</t>
  </si>
  <si>
    <t>Fish/811_bicolour_parrotfish</t>
  </si>
  <si>
    <t>fishname_spectacled_parrotfish</t>
  </si>
  <si>
    <t>fish_spectacled_parrotfish</t>
  </si>
  <si>
    <t>Fish/810_spectacled_parrotfish</t>
  </si>
  <si>
    <t>fishname_pacific_longnose_parrotfish</t>
  </si>
  <si>
    <t>fish_pacific_longnose_parrotfish</t>
  </si>
  <si>
    <t>Fish/995_pacific_longnose_parrotfish</t>
  </si>
  <si>
    <t>fishname_tri_colour_parrotfish</t>
  </si>
  <si>
    <t>fish_tri_colour_parrotfish</t>
  </si>
  <si>
    <t>Fish/tri_colour_parrotfish</t>
  </si>
  <si>
    <t>fishname_Porcupine Puffer</t>
  </si>
  <si>
    <t>fish_Porcupine Puffer</t>
  </si>
  <si>
    <t>Fish/232_Porcupine Puffer</t>
  </si>
  <si>
    <t>fishname_Valentinni's sharpnose puffer</t>
  </si>
  <si>
    <t>fish_Valentinni's sharpnose puffer</t>
  </si>
  <si>
    <t>Fish/233_Valentinni's sharpnose puffer</t>
  </si>
  <si>
    <t>fishname_golden_puffer</t>
  </si>
  <si>
    <t>fish_golden_puffer</t>
  </si>
  <si>
    <t>Fish/452_golden_puffer</t>
  </si>
  <si>
    <t>fishname_papuan_toby_puffer</t>
  </si>
  <si>
    <t>fish_papuan_toby_puffer</t>
  </si>
  <si>
    <t>Fish/453_papuan_toby_puffer</t>
  </si>
  <si>
    <t>fishname_White bar Boxfish</t>
  </si>
  <si>
    <t>fish_White bar Boxfish</t>
  </si>
  <si>
    <t>Fish/373_White bar Boxfish</t>
  </si>
  <si>
    <t>fishname_masked_puffer</t>
  </si>
  <si>
    <t>fish_masked_puffer</t>
  </si>
  <si>
    <t>Fish/1206_masked_puffer</t>
  </si>
  <si>
    <t>fishname_spotted_seahorse</t>
  </si>
  <si>
    <t>fish_spotted_seahorse</t>
  </si>
  <si>
    <t>Fish/1400_spotted_seahorse</t>
  </si>
  <si>
    <t>fishname_Sindonis Seahorse</t>
  </si>
  <si>
    <t>fish_Sindonis Seahorse</t>
  </si>
  <si>
    <t>Fish/234_Sindonis Seahorse</t>
  </si>
  <si>
    <t>fishname_thorny_seahorse</t>
  </si>
  <si>
    <t>fish_thorny_seahorse</t>
  </si>
  <si>
    <t>Fish/454_thorny_seahorse</t>
  </si>
  <si>
    <t>fishname_tiger_tail_seahorse</t>
  </si>
  <si>
    <t>fish_tiger_tail_seahorse</t>
  </si>
  <si>
    <t>Fish/455_tiger_tail_seahorse</t>
  </si>
  <si>
    <t>fishname_bullneck_seahorse</t>
  </si>
  <si>
    <t>fish_bullneck_seahorse</t>
  </si>
  <si>
    <t>Fish/504_bullneck_seahorse</t>
  </si>
  <si>
    <t>fishname_giant_pacific_seahorse</t>
  </si>
  <si>
    <t>fish_giant_pacific_seahorse</t>
  </si>
  <si>
    <t>Fish/505_giant_pacific_seahorse</t>
  </si>
  <si>
    <t>fishname_casper_octopus</t>
  </si>
  <si>
    <t>fish_casper_octopus</t>
  </si>
  <si>
    <t>Fish/573_casper_octopus</t>
  </si>
  <si>
    <t>fishname_striped_octopus</t>
  </si>
  <si>
    <t>fish_striped_octopus</t>
  </si>
  <si>
    <t>Fish/1345_striped_octopus</t>
  </si>
  <si>
    <t>fishname_white_spotted_octopus</t>
  </si>
  <si>
    <t>fish_white_spotted_octopus</t>
  </si>
  <si>
    <t>Fish/1346_white_spotted_octopus</t>
  </si>
  <si>
    <t>fishname_baby_flapjack_octopus</t>
  </si>
  <si>
    <t>fish_baby_flapjack_octopus</t>
  </si>
  <si>
    <t>Fish/baby_flapjack_octopus</t>
  </si>
  <si>
    <t>fishname_caribbean_reef_octopus</t>
  </si>
  <si>
    <t>fish_caribbean_reef_octopus</t>
  </si>
  <si>
    <t>Fish/931_caribbean_reef_octopus</t>
  </si>
  <si>
    <t>fishname_Pig-nosed Turtle</t>
  </si>
  <si>
    <t>fish_Pig-nosed Turtle</t>
  </si>
  <si>
    <t>Fish/Pig-nosed Turtle</t>
  </si>
  <si>
    <t>fishname_Snapping Turtle</t>
  </si>
  <si>
    <t>fish_Snapping Turtle</t>
  </si>
  <si>
    <t>Fish/Snapping Turtle</t>
  </si>
  <si>
    <t>fishname_Alligator Snapping Turtle</t>
  </si>
  <si>
    <t>fish_Alligator Snapping Turtle</t>
  </si>
  <si>
    <t>Fish/Alligator Snapping Turtle</t>
  </si>
  <si>
    <t>fishname_vaquita</t>
  </si>
  <si>
    <t>fish_vaquita</t>
  </si>
  <si>
    <t>Fish/784_vaquita</t>
  </si>
  <si>
    <t>fishname_spinner_dolphin</t>
  </si>
  <si>
    <t>fish_spinner_dolphin</t>
  </si>
  <si>
    <t>Fish/1405_spinner_dolphin</t>
  </si>
  <si>
    <t>fishname_short_beaked_common_dolphin</t>
  </si>
  <si>
    <t>fish_short_beaked_common_dolphin</t>
  </si>
  <si>
    <t>Fish/876_short_beaked_common_dolphin</t>
  </si>
  <si>
    <t>fishname_hectors_dolphin</t>
  </si>
  <si>
    <t>fish_hectors_dolphin</t>
  </si>
  <si>
    <t>Fish/hectors_dolphin</t>
  </si>
  <si>
    <t>fishname_sarawak_dolphin</t>
  </si>
  <si>
    <t>fish_sarawak_dolphin</t>
  </si>
  <si>
    <t>Fish/sarawak_dolphin</t>
  </si>
  <si>
    <t>fishname_onefin_electric_ray</t>
  </si>
  <si>
    <t>fish_onefin_electric_ray</t>
  </si>
  <si>
    <t>Fish/1038_onefin_electric_ray</t>
  </si>
  <si>
    <t>fishname_gymnura_butterfly_ray</t>
  </si>
  <si>
    <t>fish_gymnura_butterfly_ray</t>
  </si>
  <si>
    <t>Fish/gymnura_butterfly_ray</t>
  </si>
  <si>
    <t>fishname_ghost_shark</t>
  </si>
  <si>
    <t>fish_ghost_shark</t>
  </si>
  <si>
    <t>Fish/600_ghost_shark</t>
  </si>
  <si>
    <t>fishname_arabian_carpet_shark</t>
  </si>
  <si>
    <t>fish_arabian_carpet_shark</t>
  </si>
  <si>
    <t>Fish/628_arabian_carpet_shark</t>
  </si>
  <si>
    <t>fishname_greenland_shark</t>
  </si>
  <si>
    <t>fish_greenland_shark</t>
  </si>
  <si>
    <t>Fish/629_greenland_shark</t>
  </si>
  <si>
    <t>fishname_chain_catshark</t>
  </si>
  <si>
    <t>fish_chain_catshark</t>
  </si>
  <si>
    <t>Fish/701_chain_catshark</t>
  </si>
  <si>
    <t>fishname_mexican_horn_shark</t>
  </si>
  <si>
    <t>fish_mexican_horn_shark</t>
  </si>
  <si>
    <t>Fish/781_mexican_horn_shark</t>
  </si>
  <si>
    <t>fishname_cookiecutter_shark</t>
  </si>
  <si>
    <t>fish_cookiecutter_shark</t>
  </si>
  <si>
    <t>Fish/808_cookiecutter_shark</t>
  </si>
  <si>
    <t>fishname_sei_whale</t>
  </si>
  <si>
    <t>fish_sei_whale</t>
  </si>
  <si>
    <t>Fish/sei_whale</t>
  </si>
  <si>
    <t>fishname_short_finned_pilot_whale</t>
  </si>
  <si>
    <t>fish_short_finned_pilot_whale</t>
  </si>
  <si>
    <t>Fish/2570_short_finned_pilot_whale</t>
  </si>
  <si>
    <t>fishname_pigmy_killer_whale</t>
  </si>
  <si>
    <t>fish_pigmy_killer_whale</t>
  </si>
  <si>
    <t>Fish/485_pigmy_killer_whale</t>
  </si>
  <si>
    <t>fishname_melon_headed_whale</t>
  </si>
  <si>
    <t>fish_melon_headed_whale</t>
  </si>
  <si>
    <t>Fish/melon_headed_whale</t>
  </si>
  <si>
    <t>fishname_baby_narwhal</t>
  </si>
  <si>
    <t>fish_baby_narwhal</t>
  </si>
  <si>
    <t>Fish/867_baby_narwhal</t>
  </si>
  <si>
    <t>아기 퍼큘라 크라운</t>
    <phoneticPr fontId="1" type="noConversion"/>
  </si>
  <si>
    <t>아기 블루탱</t>
    <phoneticPr fontId="1" type="noConversion"/>
  </si>
  <si>
    <t>아기 상어</t>
    <phoneticPr fontId="1" type="noConversion"/>
  </si>
  <si>
    <t>아기 라쿤 나비</t>
    <phoneticPr fontId="1" type="noConversion"/>
  </si>
  <si>
    <t>아기 옐로우 박스피쉬</t>
    <phoneticPr fontId="1" type="noConversion"/>
  </si>
  <si>
    <t>아기 장수거북</t>
    <phoneticPr fontId="1" type="noConversion"/>
  </si>
  <si>
    <t>메갈로돈</t>
    <phoneticPr fontId="1" type="noConversion"/>
  </si>
  <si>
    <t>fishname_baby_clownfish</t>
  </si>
  <si>
    <t>fish_baby_clownfish</t>
  </si>
  <si>
    <t>Fish/baby_clownfish</t>
  </si>
  <si>
    <t>fishname_baby_blue_tang</t>
  </si>
  <si>
    <t>fish_baby_blue_tang</t>
  </si>
  <si>
    <t>Fish/baby_blue_tang</t>
  </si>
  <si>
    <t>fishname_Baby Shark</t>
  </si>
  <si>
    <t>fish_Baby Shark</t>
  </si>
  <si>
    <t>Fish/406_Baby Shark</t>
  </si>
  <si>
    <t>fishname_baby_raccoon_butterfly</t>
  </si>
  <si>
    <t>fish_baby_raccoon_butterfly</t>
  </si>
  <si>
    <t>Fish/baby_raccoon_butterfly</t>
  </si>
  <si>
    <t>fishname_baby_yellow_boxfish</t>
  </si>
  <si>
    <t>fish_baby_yellow_boxfish</t>
  </si>
  <si>
    <t>Fish/baby_yellow_boxfish</t>
  </si>
  <si>
    <t>fishname_baby_leatherback_turtle</t>
  </si>
  <si>
    <t>fish_baby_leatherback_turtle</t>
  </si>
  <si>
    <t>Fish/baby_leatherback_turtle</t>
  </si>
  <si>
    <t>fishname_megalodon</t>
  </si>
  <si>
    <t>fish_megalodon</t>
  </si>
  <si>
    <t>Fish/2266_megalodon</t>
  </si>
  <si>
    <t>기타</t>
    <phoneticPr fontId="4" type="noConversion"/>
  </si>
  <si>
    <t>라이언 피쉬</t>
    <phoneticPr fontId="1" type="noConversion"/>
  </si>
  <si>
    <t>fish_Lion Fish</t>
  </si>
  <si>
    <t>fishname_blacktip_shark</t>
  </si>
  <si>
    <t>fish_blacktip_shark</t>
  </si>
  <si>
    <t>Fish/blacktip_shark</t>
  </si>
  <si>
    <t>fish_phocoenoides_dolphin</t>
  </si>
  <si>
    <t>Fish/phocoenoides_dolphin</t>
  </si>
  <si>
    <t>까치 돌고래</t>
    <phoneticPr fontId="1" type="noConversion"/>
  </si>
  <si>
    <t>블랙팁 샤크</t>
    <phoneticPr fontId="1" type="noConversion"/>
  </si>
  <si>
    <r>
      <rPr>
        <sz val="11"/>
        <rFont val="맑은 고딕"/>
        <family val="3"/>
        <charset val="129"/>
      </rPr>
      <t>아기 만타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가오리</t>
    </r>
    <phoneticPr fontId="1" type="noConversion"/>
  </si>
  <si>
    <t>fishname_baby_manta_ray</t>
  </si>
  <si>
    <t>fish_baby_manta_ray</t>
  </si>
  <si>
    <t>Fish/866_baby_manta_ray</t>
  </si>
  <si>
    <t>북극 고래</t>
    <phoneticPr fontId="1" type="noConversion"/>
  </si>
  <si>
    <t>fishname_bowhead_whale</t>
  </si>
  <si>
    <t>fish_bowhead_whale</t>
  </si>
  <si>
    <t>Fish/bowhead_whale</t>
  </si>
  <si>
    <t>fishname_Lion Fish</t>
    <phoneticPr fontId="1" type="noConversion"/>
  </si>
  <si>
    <t>fishname_phocoenoides_dolphin</t>
    <phoneticPr fontId="1" type="noConversion"/>
  </si>
  <si>
    <r>
      <rPr>
        <sz val="11"/>
        <rFont val="맑은 고딕"/>
        <family val="3"/>
        <charset val="129"/>
      </rPr>
      <t>산호석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터치하기</t>
    </r>
    <r>
      <rPr>
        <sz val="11"/>
        <rFont val="Calibri"/>
        <family val="2"/>
      </rPr>
      <t xml:space="preserve"> 20000</t>
    </r>
    <r>
      <rPr>
        <sz val="11"/>
        <rFont val="맑은 고딕"/>
        <family val="3"/>
        <charset val="129"/>
      </rPr>
      <t>회</t>
    </r>
    <phoneticPr fontId="1" type="noConversion"/>
  </si>
  <si>
    <t>2_UniqueFishContainerB</t>
    <phoneticPr fontId="1" type="noConversion"/>
  </si>
  <si>
    <t>Fish/15_Lion Fish</t>
    <phoneticPr fontId="1" type="noConversion"/>
  </si>
  <si>
    <t>fishname_baby_alligator_snapping_turtle</t>
    <phoneticPr fontId="1" type="noConversion"/>
  </si>
  <si>
    <r>
      <rPr>
        <sz val="11"/>
        <rFont val="맑은 고딕"/>
        <family val="3"/>
        <charset val="129"/>
      </rPr>
      <t>짧은부리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참돌고래</t>
    </r>
    <r>
      <rPr>
        <sz val="11"/>
        <rFont val="Calibri"/>
        <family val="2"/>
      </rPr>
      <t xml:space="preserve"> 1 </t>
    </r>
    <r>
      <rPr>
        <sz val="11"/>
        <rFont val="맑은 고딕"/>
        <family val="3"/>
        <charset val="129"/>
      </rPr>
      <t>마리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필요</t>
    </r>
    <phoneticPr fontId="1" type="noConversion"/>
  </si>
  <si>
    <r>
      <rPr>
        <sz val="11"/>
        <rFont val="맑은 고딕"/>
        <family val="3"/>
        <charset val="129"/>
      </rPr>
      <t>별혹산호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</rPr>
      <t>필요</t>
    </r>
    <phoneticPr fontId="1" type="noConversion"/>
  </si>
  <si>
    <t>유니콘 탱 1 마리 필요</t>
  </si>
  <si>
    <t>망고 엔젤피쉬 1 마리 필요</t>
  </si>
  <si>
    <t>악어 거북 1 마리 필요</t>
  </si>
  <si>
    <t>fish_Axolotls</t>
  </si>
  <si>
    <t>분홍 갑오징어</t>
  </si>
  <si>
    <t>Fish/1098_pink_cuttlefish</t>
    <phoneticPr fontId="1" type="noConversion"/>
  </si>
  <si>
    <t>fishname_pink_cuttlefish</t>
  </si>
  <si>
    <t>fish_pink_cuttlefish</t>
  </si>
  <si>
    <t>토시소녀 가오리</t>
    <phoneticPr fontId="1" type="noConversion"/>
  </si>
  <si>
    <t>Fish/1146_black_spotted_whipray</t>
    <phoneticPr fontId="1" type="noConversion"/>
  </si>
  <si>
    <t>fishname_black_spotted_whipray</t>
  </si>
  <si>
    <t>fish_black_spotted_whipray</t>
  </si>
  <si>
    <r>
      <rPr>
        <sz val="11"/>
        <rFont val="맑은 고딕"/>
        <family val="3"/>
        <charset val="129"/>
      </rPr>
      <t>폭죽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</rPr>
      <t>고비</t>
    </r>
    <r>
      <rPr>
        <sz val="11"/>
        <rFont val="Calibri"/>
        <family val="2"/>
      </rPr>
      <t>1</t>
    </r>
    <r>
      <rPr>
        <sz val="11"/>
        <rFont val="맑은 고딕"/>
        <family val="3"/>
        <charset val="129"/>
      </rPr>
      <t>마리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보유</t>
    </r>
    <phoneticPr fontId="1" type="noConversion"/>
  </si>
  <si>
    <r>
      <rPr>
        <sz val="11"/>
        <rFont val="맑은 고딕"/>
        <family val="3"/>
        <charset val="129"/>
      </rPr>
      <t>레드테일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</rPr>
      <t>나비</t>
    </r>
    <r>
      <rPr>
        <sz val="11"/>
        <rFont val="Calibri"/>
        <family val="2"/>
      </rPr>
      <t xml:space="preserve"> 1 </t>
    </r>
    <r>
      <rPr>
        <sz val="11"/>
        <rFont val="맑은 고딕"/>
        <family val="3"/>
        <charset val="129"/>
      </rPr>
      <t>마리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필요</t>
    </r>
    <phoneticPr fontId="1" type="noConversion"/>
  </si>
  <si>
    <r>
      <rPr>
        <sz val="11"/>
        <rFont val="맑은 고딕"/>
        <family val="3"/>
        <charset val="129"/>
      </rPr>
      <t>바이칼라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</rPr>
      <t>패롯피시</t>
    </r>
    <r>
      <rPr>
        <sz val="11"/>
        <rFont val="Calibri"/>
        <family val="2"/>
      </rPr>
      <t xml:space="preserve"> 1 </t>
    </r>
    <r>
      <rPr>
        <sz val="11"/>
        <rFont val="맑은 고딕"/>
        <family val="3"/>
        <charset val="129"/>
      </rPr>
      <t>마리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필요</t>
    </r>
    <phoneticPr fontId="1" type="noConversion"/>
  </si>
  <si>
    <r>
      <rPr>
        <sz val="11"/>
        <rFont val="맑은 고딕"/>
        <family val="3"/>
        <charset val="129"/>
      </rPr>
      <t>가시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</rPr>
      <t>해마</t>
    </r>
    <r>
      <rPr>
        <sz val="11"/>
        <rFont val="Calibri"/>
        <family val="2"/>
      </rPr>
      <t xml:space="preserve"> 1 </t>
    </r>
    <r>
      <rPr>
        <sz val="11"/>
        <rFont val="맑은 고딕"/>
        <family val="3"/>
        <charset val="129"/>
      </rPr>
      <t>마리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필요</t>
    </r>
    <phoneticPr fontId="1" type="noConversion"/>
  </si>
  <si>
    <t>have_fish_normal_type</t>
  </si>
  <si>
    <t>test</t>
    <phoneticPr fontId="1" type="noConversion"/>
  </si>
  <si>
    <r>
      <rPr>
        <sz val="11"/>
        <rFont val="맑은 고딕"/>
        <family val="3"/>
        <charset val="129"/>
      </rPr>
      <t>일일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미션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클리어하기</t>
    </r>
    <r>
      <rPr>
        <sz val="11"/>
        <rFont val="Calibri"/>
        <family val="2"/>
      </rPr>
      <t xml:space="preserve"> 1</t>
    </r>
    <r>
      <rPr>
        <sz val="11"/>
        <rFont val="맑은 고딕"/>
        <family val="3"/>
        <charset val="129"/>
      </rPr>
      <t>회</t>
    </r>
    <phoneticPr fontId="1" type="noConversion"/>
  </si>
  <si>
    <t>UnlockValue</t>
    <phoneticPr fontId="1" type="noConversion"/>
  </si>
  <si>
    <t>test_tempValue</t>
    <phoneticPr fontId="1" type="noConversion"/>
  </si>
  <si>
    <r>
      <rPr>
        <sz val="11"/>
        <rFont val="맑은 고딕"/>
        <family val="3"/>
        <charset val="129"/>
      </rPr>
      <t>산호석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터치하기</t>
    </r>
    <r>
      <rPr>
        <sz val="11"/>
        <rFont val="Calibri"/>
        <family val="2"/>
      </rPr>
      <t xml:space="preserve"> 50 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</si>
  <si>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일일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미션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클리어하기</t>
    </r>
    <r>
      <rPr>
        <sz val="11"/>
        <rFont val="Calibri"/>
        <family val="2"/>
      </rPr>
      <t xml:space="preserve"> 2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</si>
  <si>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광고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시청하기</t>
    </r>
    <r>
      <rPr>
        <sz val="11"/>
        <rFont val="Calibri"/>
        <family val="2"/>
      </rPr>
      <t xml:space="preserve"> 1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</si>
  <si>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하루에</t>
    </r>
    <r>
      <rPr>
        <sz val="11"/>
        <rFont val="Calibri"/>
        <family val="2"/>
      </rPr>
      <t xml:space="preserve"> 2</t>
    </r>
    <r>
      <rPr>
        <sz val="11"/>
        <rFont val="맑은 고딕"/>
        <family val="3"/>
        <charset val="129"/>
      </rPr>
      <t>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접속</t>
    </r>
    <r>
      <rPr>
        <sz val="11"/>
        <rFont val="Calibri"/>
        <family val="2"/>
      </rPr>
      <t xml:space="preserve">					</t>
    </r>
    <phoneticPr fontId="1" type="noConversion"/>
  </si>
  <si>
    <r>
      <rPr>
        <sz val="11"/>
        <rFont val="맑은 고딕"/>
        <family val="3"/>
        <charset val="129"/>
      </rPr>
      <t>아무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스킬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사용</t>
    </r>
    <r>
      <rPr>
        <sz val="11"/>
        <rFont val="Calibri"/>
        <family val="2"/>
      </rPr>
      <t xml:space="preserve"> 3</t>
    </r>
    <r>
      <rPr>
        <sz val="11"/>
        <rFont val="맑은 고딕"/>
        <family val="3"/>
        <charset val="129"/>
      </rPr>
      <t>회</t>
    </r>
    <r>
      <rPr>
        <sz val="11"/>
        <rFont val="Calibri"/>
        <family val="2"/>
      </rPr>
      <t xml:space="preserve">					</t>
    </r>
    <phoneticPr fontId="1" type="noConversion"/>
  </si>
  <si>
    <r>
      <rPr>
        <sz val="11"/>
        <rFont val="맑은 고딕"/>
        <family val="3"/>
        <charset val="129"/>
      </rPr>
      <t>광고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시청하기</t>
    </r>
    <r>
      <rPr>
        <sz val="11"/>
        <rFont val="Calibri"/>
        <family val="2"/>
      </rPr>
      <t xml:space="preserve"> 2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</si>
  <si>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산호석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터치하기</t>
    </r>
    <r>
      <rPr>
        <sz val="11"/>
        <rFont val="Calibri"/>
        <family val="2"/>
      </rPr>
      <t xml:space="preserve"> 60 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</si>
  <si>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광고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시청하기</t>
    </r>
    <r>
      <rPr>
        <sz val="11"/>
        <rFont val="Calibri"/>
        <family val="2"/>
      </rPr>
      <t xml:space="preserve"> 3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</si>
  <si>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아무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스킬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사용</t>
    </r>
    <r>
      <rPr>
        <sz val="11"/>
        <rFont val="Calibri"/>
        <family val="2"/>
      </rPr>
      <t xml:space="preserve"> 5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</si>
  <si>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산호석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터치하기</t>
    </r>
    <r>
      <rPr>
        <sz val="11"/>
        <rFont val="Calibri"/>
        <family val="2"/>
      </rPr>
      <t xml:space="preserve"> 70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</si>
  <si>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신비의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상자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개봉</t>
    </r>
    <r>
      <rPr>
        <sz val="11"/>
        <rFont val="Calibri"/>
        <family val="2"/>
      </rPr>
      <t xml:space="preserve"> 1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</si>
  <si>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신비의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상자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개봉</t>
    </r>
    <r>
      <rPr>
        <sz val="11"/>
        <rFont val="Calibri"/>
        <family val="2"/>
      </rPr>
      <t xml:space="preserve"> 2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</si>
  <si>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보석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사용하기</t>
    </r>
    <r>
      <rPr>
        <sz val="11"/>
        <rFont val="Calibri"/>
        <family val="2"/>
      </rPr>
      <t xml:space="preserve"> 100</t>
    </r>
    <r>
      <rPr>
        <sz val="11"/>
        <rFont val="맑은 고딕"/>
        <family val="3"/>
        <charset val="129"/>
      </rPr>
      <t>개</t>
    </r>
    <phoneticPr fontId="1" type="noConversion"/>
  </si>
  <si>
    <r>
      <rPr>
        <sz val="11"/>
        <rFont val="맑은 고딕"/>
        <family val="3"/>
        <charset val="129"/>
      </rPr>
      <t>광고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시청하기</t>
    </r>
    <r>
      <rPr>
        <sz val="11"/>
        <rFont val="Calibri"/>
        <family val="2"/>
      </rPr>
      <t xml:space="preserve"> 4 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</si>
  <si>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일일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미션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클리어하기</t>
    </r>
    <r>
      <rPr>
        <sz val="11"/>
        <rFont val="Calibri"/>
        <family val="2"/>
      </rPr>
      <t xml:space="preserve"> 3</t>
    </r>
    <r>
      <rPr>
        <sz val="11"/>
        <rFont val="맑은 고딕"/>
        <family val="3"/>
        <charset val="129"/>
      </rPr>
      <t>회</t>
    </r>
    <phoneticPr fontId="1" type="noConversion"/>
  </si>
  <si>
    <r>
      <rPr>
        <sz val="11"/>
        <rFont val="맑은 고딕"/>
        <family val="3"/>
        <charset val="129"/>
      </rPr>
      <t>진화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물고기</t>
    </r>
    <r>
      <rPr>
        <sz val="11"/>
        <rFont val="Calibri"/>
        <family val="2"/>
      </rPr>
      <t xml:space="preserve"> 5 </t>
    </r>
    <r>
      <rPr>
        <sz val="11"/>
        <rFont val="맑은 고딕"/>
        <family val="3"/>
        <charset val="129"/>
      </rPr>
      <t>마리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수집하기</t>
    </r>
    <phoneticPr fontId="1" type="noConversion"/>
  </si>
  <si>
    <r>
      <rPr>
        <sz val="11"/>
        <rFont val="맑은 고딕"/>
        <family val="3"/>
        <charset val="129"/>
      </rPr>
      <t>산호석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터치하기</t>
    </r>
    <r>
      <rPr>
        <sz val="11"/>
        <rFont val="Calibri"/>
        <family val="2"/>
      </rPr>
      <t xml:space="preserve"> 80</t>
    </r>
    <r>
      <rPr>
        <sz val="11"/>
        <rFont val="맑은 고딕"/>
        <family val="3"/>
        <charset val="129"/>
      </rPr>
      <t>회</t>
    </r>
    <phoneticPr fontId="1" type="noConversion"/>
  </si>
  <si>
    <t>Fish/510_round_ribbontail_ray</t>
  </si>
  <si>
    <t>fishname_bullseye_electric_ray</t>
  </si>
  <si>
    <t>Fish/750_bullseye_electric_ray</t>
  </si>
  <si>
    <t>흰배돌고래</t>
    <phoneticPr fontId="1" type="noConversion"/>
  </si>
  <si>
    <t>fish_Right Whale Dolphin</t>
  </si>
  <si>
    <t>Fish/301_Right Whale Dolphin</t>
  </si>
  <si>
    <t>fishname_Right Whale Dolphin</t>
    <phoneticPr fontId="1" type="noConversion"/>
  </si>
  <si>
    <t>fishname_round_ribbontail_ray</t>
    <phoneticPr fontId="1" type="noConversion"/>
  </si>
  <si>
    <r>
      <rPr>
        <sz val="11"/>
        <rFont val="맑은 고딕"/>
        <family val="3"/>
        <charset val="129"/>
      </rPr>
      <t>불스아이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일렉트릭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래이</t>
    </r>
    <phoneticPr fontId="1" type="noConversion"/>
  </si>
  <si>
    <t>fish_bullseye_electric_ray</t>
    <phoneticPr fontId="1" type="noConversion"/>
  </si>
  <si>
    <r>
      <rPr>
        <sz val="11"/>
        <rFont val="맑은 고딕"/>
        <family val="3"/>
        <charset val="129"/>
      </rPr>
      <t>둥근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리본테일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가오리</t>
    </r>
    <phoneticPr fontId="1" type="noConversion"/>
  </si>
  <si>
    <t>fish_Clown Tang</t>
    <phoneticPr fontId="1" type="noConversion"/>
  </si>
  <si>
    <t>fish_round_ribbontail_ray</t>
    <phoneticPr fontId="1" type="noConversion"/>
  </si>
  <si>
    <t>출석 1일</t>
    <phoneticPr fontId="1" type="noConversion"/>
  </si>
  <si>
    <t>출석1일</t>
    <phoneticPr fontId="1" type="noConversion"/>
  </si>
  <si>
    <t>출석 2일</t>
    <phoneticPr fontId="1" type="noConversion"/>
  </si>
  <si>
    <r>
      <rPr>
        <sz val="11"/>
        <rFont val="맑은 고딕"/>
        <family val="3"/>
        <charset val="129"/>
      </rPr>
      <t>출석</t>
    </r>
    <r>
      <rPr>
        <sz val="11"/>
        <rFont val="Calibri"/>
        <family val="2"/>
      </rPr>
      <t xml:space="preserve"> 7</t>
    </r>
    <r>
      <rPr>
        <sz val="11"/>
        <rFont val="맑은 고딕"/>
        <family val="3"/>
        <charset val="129"/>
      </rPr>
      <t>일</t>
    </r>
    <phoneticPr fontId="1" type="noConversion"/>
  </si>
  <si>
    <t>출석 3일</t>
    <phoneticPr fontId="1" type="noConversion"/>
  </si>
  <si>
    <t>13_Whale_1000</t>
  </si>
  <si>
    <t>아기 우파루파</t>
  </si>
  <si>
    <t>아기 점박이 물범</t>
  </si>
  <si>
    <t>아기 북극곰</t>
  </si>
  <si>
    <t>기억의 고래</t>
  </si>
  <si>
    <t>fishname_baby_axolotl</t>
  </si>
  <si>
    <t>fish_baby_axolotl</t>
  </si>
  <si>
    <t>Fish/2334_baby_axolotl</t>
  </si>
  <si>
    <t>fishname_baby_spotted_seal</t>
  </si>
  <si>
    <t>fish_baby_spotted_seal</t>
  </si>
  <si>
    <t>Fish/baby_spotted_seal</t>
  </si>
  <si>
    <t>fishname_Baby PolarBear</t>
  </si>
  <si>
    <t>fish_Baby PolarBear</t>
  </si>
  <si>
    <t>fishname_shiny_blue_whale</t>
  </si>
  <si>
    <t>fish_shiny_blue_whale</t>
  </si>
  <si>
    <t>Fish/shiny_blue_whale</t>
  </si>
  <si>
    <t>none_unlock_attend</t>
  </si>
  <si>
    <t>출석부에서 획득</t>
    <phoneticPr fontId="1" type="noConversion"/>
  </si>
  <si>
    <t>코기</t>
    <phoneticPr fontId="1" type="noConversion"/>
  </si>
  <si>
    <t>fish_Corgi</t>
  </si>
  <si>
    <t>Fish/226_Corgi</t>
  </si>
  <si>
    <t>fishname_Corgi</t>
    <phoneticPr fontId="1" type="noConversion"/>
  </si>
  <si>
    <t>Fish/classic_baby_polar_bear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</si>
</sst>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  <charset val="129"/>
    </font>
    <font>
      <sz val="11"/>
      <name val="Calibri"/>
      <family val="3"/>
    </font>
    <font>
      <sz val="11"/>
      <name val="Calibri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40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30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0"/>
  <sheetViews>
    <sheetView tabSelected="1" zoomScale="85" zoomScaleNormal="85" workbookViewId="0">
      <pane ySplit="1" topLeftCell="A204" activePane="bottomLeft" state="frozen"/>
      <selection pane="bottomLeft" activeCell="G240" sqref="G240"/>
    </sheetView>
  </sheetViews>
  <sheetFormatPr defaultRowHeight="15" x14ac:dyDescent="0.25"/>
  <cols>
    <col min="1" max="1" width="8.85546875" style="7" customWidth="1"/>
    <col min="2" max="2" width="12.7109375" style="7" bestFit="1" customWidth="1"/>
    <col min="3" max="3" width="9.5703125" style="7" bestFit="1" customWidth="1"/>
    <col min="4" max="4" width="13.85546875" style="7" bestFit="1" customWidth="1"/>
    <col min="5" max="5" width="33.42578125" style="7" bestFit="1" customWidth="1"/>
    <col min="6" max="6" width="6.85546875" style="7" bestFit="1" customWidth="1"/>
    <col min="7" max="7" width="36" style="7" bestFit="1" customWidth="1"/>
    <col min="8" max="8" width="12.85546875" style="7" bestFit="1" customWidth="1"/>
    <col min="9" max="9" width="11.28515625" style="7" bestFit="1" customWidth="1"/>
    <col min="10" max="10" width="11.28515625" style="7" customWidth="1"/>
    <col min="11" max="11" width="19.42578125" style="7" bestFit="1" customWidth="1"/>
    <col min="12" max="12" width="18.85546875" style="7" bestFit="1" customWidth="1"/>
    <col min="13" max="13" width="38.5703125" style="7" bestFit="1" customWidth="1"/>
    <col min="14" max="14" width="33" style="7" bestFit="1" customWidth="1"/>
    <col min="15" max="15" width="43.140625" style="7" bestFit="1" customWidth="1"/>
    <col min="16" max="16384" width="9.140625" style="7"/>
  </cols>
  <sheetData>
    <row r="1" spans="1:15" x14ac:dyDescent="0.25">
      <c r="A1" s="3" t="s">
        <v>0</v>
      </c>
      <c r="B1" s="5" t="s">
        <v>7</v>
      </c>
      <c r="C1" s="6" t="s">
        <v>8</v>
      </c>
      <c r="D1" s="5" t="s">
        <v>9</v>
      </c>
      <c r="E1" s="5" t="s">
        <v>1</v>
      </c>
      <c r="F1" s="5" t="s">
        <v>10</v>
      </c>
      <c r="G1" s="5" t="s">
        <v>11</v>
      </c>
      <c r="H1" s="6" t="s">
        <v>12</v>
      </c>
      <c r="I1" s="5" t="s">
        <v>13</v>
      </c>
      <c r="J1" s="8" t="s">
        <v>153</v>
      </c>
      <c r="K1" s="2" t="s">
        <v>20</v>
      </c>
      <c r="L1" s="2" t="s">
        <v>21</v>
      </c>
      <c r="M1" s="2" t="s">
        <v>22</v>
      </c>
      <c r="N1" s="2" t="s">
        <v>23</v>
      </c>
      <c r="O1" s="6" t="s">
        <v>30</v>
      </c>
    </row>
    <row r="2" spans="1:15" x14ac:dyDescent="0.25">
      <c r="A2" s="1" t="s">
        <v>2</v>
      </c>
      <c r="B2" s="5" t="s">
        <v>2</v>
      </c>
      <c r="C2" s="5" t="s">
        <v>14</v>
      </c>
      <c r="D2" s="5" t="s">
        <v>3</v>
      </c>
      <c r="E2" s="5" t="s">
        <v>3</v>
      </c>
      <c r="F2" s="5" t="s">
        <v>2</v>
      </c>
      <c r="G2" s="6" t="s">
        <v>31</v>
      </c>
      <c r="H2" s="5" t="s">
        <v>2</v>
      </c>
      <c r="I2" s="5" t="s">
        <v>2</v>
      </c>
      <c r="J2" s="5" t="s">
        <v>2</v>
      </c>
      <c r="K2" s="2" t="s">
        <v>24</v>
      </c>
      <c r="L2" s="2" t="s">
        <v>24</v>
      </c>
      <c r="M2" s="2" t="s">
        <v>25</v>
      </c>
      <c r="N2" s="2" t="s">
        <v>25</v>
      </c>
      <c r="O2" s="5" t="s">
        <v>25</v>
      </c>
    </row>
    <row r="3" spans="1:15" x14ac:dyDescent="0.25">
      <c r="A3" s="1" t="s">
        <v>6</v>
      </c>
      <c r="B3" s="1" t="s">
        <v>4</v>
      </c>
      <c r="C3" s="4" t="s">
        <v>4</v>
      </c>
      <c r="D3" s="4" t="s">
        <v>5</v>
      </c>
      <c r="E3" s="4" t="s">
        <v>5</v>
      </c>
      <c r="F3" s="4" t="s">
        <v>6</v>
      </c>
      <c r="G3" s="4" t="s">
        <v>6</v>
      </c>
      <c r="H3" s="4" t="s">
        <v>6</v>
      </c>
      <c r="I3" s="4" t="s">
        <v>6</v>
      </c>
      <c r="J3" s="4" t="s">
        <v>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</row>
    <row r="4" spans="1:15" x14ac:dyDescent="0.25">
      <c r="A4" s="7">
        <v>1</v>
      </c>
      <c r="B4" s="7">
        <v>0</v>
      </c>
      <c r="C4" s="7">
        <v>1</v>
      </c>
      <c r="D4" s="7" t="str">
        <f>IFERROR(INDEX(FishGroup!$B$4:$B$31,MATCH(B4,FishGroup!$A$4:$A$31,0)),"기타")</f>
        <v>크라운</v>
      </c>
      <c r="E4" s="7" t="s">
        <v>16</v>
      </c>
      <c r="F4" s="7">
        <v>10</v>
      </c>
      <c r="G4" s="7" t="s">
        <v>479</v>
      </c>
      <c r="H4" s="7">
        <v>0</v>
      </c>
      <c r="I4" s="7">
        <v>100</v>
      </c>
      <c r="J4" s="7">
        <v>100</v>
      </c>
      <c r="K4" s="7">
        <v>500</v>
      </c>
      <c r="L4" s="7">
        <v>250</v>
      </c>
      <c r="M4" s="7" t="s">
        <v>497</v>
      </c>
      <c r="N4" s="7" t="s">
        <v>269</v>
      </c>
      <c r="O4" s="7" t="s">
        <v>373</v>
      </c>
    </row>
    <row r="5" spans="1:15" x14ac:dyDescent="0.25">
      <c r="A5" s="7">
        <v>2</v>
      </c>
      <c r="B5" s="7">
        <v>0</v>
      </c>
      <c r="C5" s="7">
        <v>1</v>
      </c>
      <c r="D5" s="7" t="str">
        <f>IFERROR(INDEX(FishGroup!$B$4:$B$31,MATCH(B5,FishGroup!$A$4:$A$31,0)),"기타")</f>
        <v>크라운</v>
      </c>
      <c r="E5" s="7" t="s">
        <v>17</v>
      </c>
      <c r="F5" s="7">
        <v>20</v>
      </c>
      <c r="G5" s="7" t="s">
        <v>479</v>
      </c>
      <c r="H5" s="7">
        <v>0</v>
      </c>
      <c r="I5" s="7">
        <v>100</v>
      </c>
      <c r="J5" s="7">
        <v>100</v>
      </c>
      <c r="K5" s="7">
        <v>500</v>
      </c>
      <c r="L5" s="7">
        <v>250</v>
      </c>
      <c r="M5" s="7" t="s">
        <v>27</v>
      </c>
      <c r="N5" s="7" t="s">
        <v>270</v>
      </c>
      <c r="O5" s="7" t="s">
        <v>374</v>
      </c>
    </row>
    <row r="6" spans="1:15" x14ac:dyDescent="0.25">
      <c r="A6" s="7">
        <v>3</v>
      </c>
      <c r="B6" s="7">
        <v>0</v>
      </c>
      <c r="C6" s="7">
        <v>2</v>
      </c>
      <c r="D6" s="7" t="str">
        <f>IFERROR(INDEX(FishGroup!$B$4:$B$31,MATCH(B6,FishGroup!$A$4:$A$31,0)),"기타")</f>
        <v>크라운</v>
      </c>
      <c r="E6" s="7" t="s">
        <v>18</v>
      </c>
      <c r="F6" s="7">
        <v>30</v>
      </c>
      <c r="G6" s="7" t="s">
        <v>479</v>
      </c>
      <c r="H6" s="7">
        <v>0</v>
      </c>
      <c r="I6" s="7">
        <v>100</v>
      </c>
      <c r="J6" s="7">
        <v>100</v>
      </c>
      <c r="K6" s="7">
        <v>500</v>
      </c>
      <c r="L6" s="7">
        <v>250</v>
      </c>
      <c r="M6" s="7" t="s">
        <v>28</v>
      </c>
      <c r="N6" s="7" t="s">
        <v>271</v>
      </c>
      <c r="O6" s="7" t="s">
        <v>375</v>
      </c>
    </row>
    <row r="7" spans="1:15" x14ac:dyDescent="0.25">
      <c r="A7" s="7">
        <v>4</v>
      </c>
      <c r="B7" s="7">
        <v>0</v>
      </c>
      <c r="C7" s="7">
        <v>2</v>
      </c>
      <c r="D7" s="7" t="str">
        <f>IFERROR(INDEX(FishGroup!$B$4:$B$31,MATCH(B7,FishGroup!$A$4:$A$31,0)),"기타")</f>
        <v>크라운</v>
      </c>
      <c r="E7" s="7" t="s">
        <v>19</v>
      </c>
      <c r="F7" s="7">
        <v>40</v>
      </c>
      <c r="G7" s="7" t="s">
        <v>479</v>
      </c>
      <c r="H7" s="7">
        <v>0</v>
      </c>
      <c r="I7" s="7">
        <v>100</v>
      </c>
      <c r="J7" s="7">
        <v>100</v>
      </c>
      <c r="K7" s="7">
        <v>500</v>
      </c>
      <c r="L7" s="7">
        <v>250</v>
      </c>
      <c r="M7" s="7" t="s">
        <v>29</v>
      </c>
      <c r="N7" s="7" t="s">
        <v>272</v>
      </c>
      <c r="O7" s="7" t="s">
        <v>376</v>
      </c>
    </row>
    <row r="8" spans="1:15" x14ac:dyDescent="0.25">
      <c r="A8" s="7">
        <v>5</v>
      </c>
      <c r="B8" s="7">
        <v>1</v>
      </c>
      <c r="C8" s="7">
        <v>1</v>
      </c>
      <c r="D8" s="7" t="str">
        <f>IFERROR(INDEX(FishGroup!$B$4:$B$31,MATCH(B8,FishGroup!$A$4:$A$31,0)),"기타")</f>
        <v>고비</v>
      </c>
      <c r="E8" s="7" t="s">
        <v>64</v>
      </c>
      <c r="F8" s="7">
        <v>50</v>
      </c>
      <c r="G8" s="7" t="s">
        <v>482</v>
      </c>
      <c r="H8" s="7">
        <v>0</v>
      </c>
      <c r="I8" s="7">
        <v>100</v>
      </c>
      <c r="J8" s="7">
        <v>100</v>
      </c>
      <c r="K8" s="7">
        <v>500</v>
      </c>
      <c r="L8" s="7">
        <v>250</v>
      </c>
      <c r="M8" s="7" t="s">
        <v>177</v>
      </c>
      <c r="N8" s="7" t="s">
        <v>295</v>
      </c>
      <c r="O8" s="7" t="s">
        <v>400</v>
      </c>
    </row>
    <row r="9" spans="1:15" x14ac:dyDescent="0.25">
      <c r="A9" s="7">
        <v>6</v>
      </c>
      <c r="B9" s="7">
        <v>1</v>
      </c>
      <c r="C9" s="7">
        <v>1</v>
      </c>
      <c r="D9" s="7" t="str">
        <f>IFERROR(INDEX(FishGroup!$B$4:$B$31,MATCH(B9,FishGroup!$A$4:$A$31,0)),"기타")</f>
        <v>고비</v>
      </c>
      <c r="E9" s="7" t="s">
        <v>65</v>
      </c>
      <c r="F9" s="7">
        <v>60</v>
      </c>
      <c r="G9" s="7" t="s">
        <v>482</v>
      </c>
      <c r="H9" s="7">
        <v>0</v>
      </c>
      <c r="I9" s="7">
        <v>100</v>
      </c>
      <c r="J9" s="7">
        <v>100</v>
      </c>
      <c r="K9" s="7">
        <v>500</v>
      </c>
      <c r="L9" s="7">
        <v>250</v>
      </c>
      <c r="M9" s="7" t="s">
        <v>178</v>
      </c>
      <c r="N9" s="7" t="s">
        <v>296</v>
      </c>
      <c r="O9" s="7" t="s">
        <v>401</v>
      </c>
    </row>
    <row r="10" spans="1:15" x14ac:dyDescent="0.25">
      <c r="A10" s="7">
        <v>7</v>
      </c>
      <c r="B10" s="7">
        <v>1</v>
      </c>
      <c r="C10" s="7">
        <v>1</v>
      </c>
      <c r="D10" s="7" t="str">
        <f>IFERROR(INDEX(FishGroup!$B$4:$B$31,MATCH(B10,FishGroup!$A$4:$A$31,0)),"기타")</f>
        <v>고비</v>
      </c>
      <c r="E10" s="7" t="s">
        <v>66</v>
      </c>
      <c r="F10" s="7">
        <v>70</v>
      </c>
      <c r="G10" s="7" t="s">
        <v>482</v>
      </c>
      <c r="H10" s="7">
        <v>0</v>
      </c>
      <c r="I10" s="7">
        <v>100</v>
      </c>
      <c r="J10" s="7">
        <v>100</v>
      </c>
      <c r="K10" s="7">
        <v>500</v>
      </c>
      <c r="L10" s="7">
        <v>250</v>
      </c>
      <c r="M10" s="7" t="s">
        <v>179</v>
      </c>
      <c r="N10" s="7" t="s">
        <v>297</v>
      </c>
      <c r="O10" s="7" t="s">
        <v>402</v>
      </c>
    </row>
    <row r="11" spans="1:15" x14ac:dyDescent="0.25">
      <c r="A11" s="7">
        <v>8</v>
      </c>
      <c r="B11" s="7">
        <v>1</v>
      </c>
      <c r="C11" s="7">
        <v>2</v>
      </c>
      <c r="D11" s="7" t="str">
        <f>IFERROR(INDEX(FishGroup!$B$4:$B$31,MATCH(B11,FishGroup!$A$4:$A$31,0)),"기타")</f>
        <v>고비</v>
      </c>
      <c r="E11" s="7" t="s">
        <v>68</v>
      </c>
      <c r="F11" s="7">
        <v>80</v>
      </c>
      <c r="G11" s="7" t="s">
        <v>482</v>
      </c>
      <c r="H11" s="7">
        <v>0</v>
      </c>
      <c r="I11" s="7">
        <v>100</v>
      </c>
      <c r="J11" s="7">
        <v>100</v>
      </c>
      <c r="K11" s="7">
        <v>500</v>
      </c>
      <c r="L11" s="7">
        <v>250</v>
      </c>
      <c r="M11" s="7" t="s">
        <v>181</v>
      </c>
      <c r="N11" s="7" t="s">
        <v>299</v>
      </c>
      <c r="O11" s="7" t="s">
        <v>404</v>
      </c>
    </row>
    <row r="12" spans="1:15" x14ac:dyDescent="0.25">
      <c r="A12" s="7">
        <v>9</v>
      </c>
      <c r="B12" s="7">
        <v>1</v>
      </c>
      <c r="C12" s="7">
        <v>1</v>
      </c>
      <c r="D12" s="7" t="str">
        <f>IFERROR(INDEX(FishGroup!$B$4:$B$31,MATCH(B12,FishGroup!$A$4:$A$31,0)),"기타")</f>
        <v>고비</v>
      </c>
      <c r="E12" s="7" t="s">
        <v>69</v>
      </c>
      <c r="F12" s="7">
        <v>90</v>
      </c>
      <c r="G12" s="7" t="s">
        <v>482</v>
      </c>
      <c r="H12" s="7">
        <v>0</v>
      </c>
      <c r="I12" s="7">
        <v>100</v>
      </c>
      <c r="J12" s="7">
        <v>100</v>
      </c>
      <c r="K12" s="7">
        <v>500</v>
      </c>
      <c r="L12" s="7">
        <v>250</v>
      </c>
      <c r="M12" s="7" t="s">
        <v>182</v>
      </c>
      <c r="N12" s="7" t="s">
        <v>300</v>
      </c>
      <c r="O12" s="7" t="s">
        <v>405</v>
      </c>
    </row>
    <row r="13" spans="1:15" x14ac:dyDescent="0.25">
      <c r="A13" s="7">
        <v>10</v>
      </c>
      <c r="B13" s="7">
        <v>1</v>
      </c>
      <c r="C13" s="7">
        <v>1</v>
      </c>
      <c r="D13" s="7" t="str">
        <f>IFERROR(INDEX(FishGroup!$B$4:$B$31,MATCH(B13,FishGroup!$A$4:$A$31,0)),"기타")</f>
        <v>고비</v>
      </c>
      <c r="E13" s="7" t="s">
        <v>70</v>
      </c>
      <c r="F13" s="7">
        <v>100</v>
      </c>
      <c r="G13" s="7" t="s">
        <v>482</v>
      </c>
      <c r="H13" s="7">
        <v>0</v>
      </c>
      <c r="I13" s="7">
        <v>100</v>
      </c>
      <c r="J13" s="7">
        <v>100</v>
      </c>
      <c r="K13" s="7">
        <v>500</v>
      </c>
      <c r="L13" s="7">
        <v>250</v>
      </c>
      <c r="M13" s="7" t="s">
        <v>183</v>
      </c>
      <c r="N13" s="7" t="s">
        <v>301</v>
      </c>
      <c r="O13" s="7" t="s">
        <v>406</v>
      </c>
    </row>
    <row r="14" spans="1:15" x14ac:dyDescent="0.25">
      <c r="A14" s="7">
        <v>11</v>
      </c>
      <c r="B14" s="7">
        <v>2</v>
      </c>
      <c r="C14" s="7">
        <v>1</v>
      </c>
      <c r="D14" s="7" t="str">
        <f>IFERROR(INDEX(FishGroup!$B$4:$B$31,MATCH(B14,FishGroup!$A$4:$A$31,0)),"기타")</f>
        <v>탱</v>
      </c>
      <c r="E14" s="7" t="s">
        <v>38</v>
      </c>
      <c r="F14" s="7">
        <v>110</v>
      </c>
      <c r="G14" s="7" t="s">
        <v>480</v>
      </c>
      <c r="H14" s="7">
        <v>0</v>
      </c>
      <c r="I14" s="7">
        <v>100</v>
      </c>
      <c r="J14" s="7">
        <v>80</v>
      </c>
      <c r="K14" s="7">
        <v>500</v>
      </c>
      <c r="L14" s="7">
        <v>250</v>
      </c>
      <c r="M14" s="7" t="s">
        <v>154</v>
      </c>
      <c r="N14" s="7" t="s">
        <v>273</v>
      </c>
      <c r="O14" s="7" t="s">
        <v>377</v>
      </c>
    </row>
    <row r="15" spans="1:15" x14ac:dyDescent="0.25">
      <c r="A15" s="7">
        <v>12</v>
      </c>
      <c r="B15" s="7">
        <v>2</v>
      </c>
      <c r="C15" s="7">
        <v>1</v>
      </c>
      <c r="D15" s="7" t="str">
        <f>IFERROR(INDEX(FishGroup!$B$4:$B$31,MATCH(B15,FishGroup!$A$4:$A$31,0)),"기타")</f>
        <v>탱</v>
      </c>
      <c r="E15" s="7" t="s">
        <v>39</v>
      </c>
      <c r="F15" s="7">
        <v>120</v>
      </c>
      <c r="G15" s="7" t="s">
        <v>480</v>
      </c>
      <c r="H15" s="7">
        <v>0</v>
      </c>
      <c r="I15" s="7">
        <v>100</v>
      </c>
      <c r="J15" s="7">
        <v>75</v>
      </c>
      <c r="K15" s="7">
        <v>500</v>
      </c>
      <c r="L15" s="7">
        <v>250</v>
      </c>
      <c r="M15" s="7" t="s">
        <v>155</v>
      </c>
      <c r="N15" s="7" t="s">
        <v>274</v>
      </c>
      <c r="O15" s="7" t="s">
        <v>378</v>
      </c>
    </row>
    <row r="16" spans="1:15" x14ac:dyDescent="0.25">
      <c r="A16" s="7">
        <v>13</v>
      </c>
      <c r="B16" s="7">
        <v>2</v>
      </c>
      <c r="C16" s="7">
        <v>2</v>
      </c>
      <c r="D16" s="7" t="str">
        <f>IFERROR(INDEX(FishGroup!$B$4:$B$31,MATCH(B16,FishGroup!$A$4:$A$31,0)),"기타")</f>
        <v>탱</v>
      </c>
      <c r="E16" s="7" t="s">
        <v>40</v>
      </c>
      <c r="F16" s="7">
        <v>130</v>
      </c>
      <c r="G16" s="7" t="s">
        <v>480</v>
      </c>
      <c r="H16" s="7">
        <v>0</v>
      </c>
      <c r="I16" s="7">
        <v>100</v>
      </c>
      <c r="J16" s="7">
        <v>80</v>
      </c>
      <c r="K16" s="7">
        <v>500</v>
      </c>
      <c r="L16" s="7">
        <v>250</v>
      </c>
      <c r="M16" s="7" t="s">
        <v>156</v>
      </c>
      <c r="N16" s="19" t="s">
        <v>1120</v>
      </c>
      <c r="O16" s="7" t="s">
        <v>379</v>
      </c>
    </row>
    <row r="17" spans="1:15" x14ac:dyDescent="0.25">
      <c r="A17" s="7">
        <v>14</v>
      </c>
      <c r="B17" s="7">
        <v>2</v>
      </c>
      <c r="C17" s="7">
        <v>1</v>
      </c>
      <c r="D17" s="7" t="str">
        <f>IFERROR(INDEX(FishGroup!$B$4:$B$31,MATCH(B17,FishGroup!$A$4:$A$31,0)),"기타")</f>
        <v>탱</v>
      </c>
      <c r="E17" s="7" t="s">
        <v>41</v>
      </c>
      <c r="F17" s="7">
        <v>140</v>
      </c>
      <c r="G17" s="7" t="s">
        <v>480</v>
      </c>
      <c r="H17" s="7">
        <v>0</v>
      </c>
      <c r="I17" s="7">
        <v>100</v>
      </c>
      <c r="J17" s="7">
        <v>75</v>
      </c>
      <c r="K17" s="7">
        <v>500</v>
      </c>
      <c r="L17" s="7">
        <v>250</v>
      </c>
      <c r="M17" s="7" t="s">
        <v>157</v>
      </c>
      <c r="N17" s="7" t="s">
        <v>275</v>
      </c>
      <c r="O17" s="7" t="s">
        <v>380</v>
      </c>
    </row>
    <row r="18" spans="1:15" x14ac:dyDescent="0.25">
      <c r="A18" s="7">
        <v>15</v>
      </c>
      <c r="B18" s="7">
        <v>2</v>
      </c>
      <c r="C18" s="7">
        <v>1</v>
      </c>
      <c r="D18" s="7" t="str">
        <f>IFERROR(INDEX(FishGroup!$B$4:$B$31,MATCH(B18,FishGroup!$A$4:$A$31,0)),"기타")</f>
        <v>탱</v>
      </c>
      <c r="E18" s="7" t="s">
        <v>43</v>
      </c>
      <c r="F18" s="7">
        <v>150</v>
      </c>
      <c r="G18" s="7" t="s">
        <v>480</v>
      </c>
      <c r="H18" s="7">
        <v>0</v>
      </c>
      <c r="I18" s="7">
        <v>100</v>
      </c>
      <c r="J18" s="7">
        <v>75</v>
      </c>
      <c r="K18" s="7">
        <v>500</v>
      </c>
      <c r="L18" s="7">
        <v>250</v>
      </c>
      <c r="M18" s="7" t="s">
        <v>159</v>
      </c>
      <c r="N18" s="7" t="s">
        <v>277</v>
      </c>
      <c r="O18" s="7" t="s">
        <v>382</v>
      </c>
    </row>
    <row r="19" spans="1:15" x14ac:dyDescent="0.25">
      <c r="A19" s="7">
        <v>16</v>
      </c>
      <c r="B19" s="7">
        <v>2</v>
      </c>
      <c r="C19" s="7">
        <v>2</v>
      </c>
      <c r="D19" s="7" t="str">
        <f>IFERROR(INDEX(FishGroup!$B$4:$B$31,MATCH(B19,FishGroup!$A$4:$A$31,0)),"기타")</f>
        <v>탱</v>
      </c>
      <c r="E19" s="7" t="s">
        <v>44</v>
      </c>
      <c r="F19" s="7">
        <v>160</v>
      </c>
      <c r="G19" s="7" t="s">
        <v>480</v>
      </c>
      <c r="H19" s="7">
        <v>0</v>
      </c>
      <c r="I19" s="7">
        <v>100</v>
      </c>
      <c r="J19" s="7">
        <v>75</v>
      </c>
      <c r="K19" s="7">
        <v>500</v>
      </c>
      <c r="L19" s="7">
        <v>250</v>
      </c>
      <c r="M19" s="7" t="s">
        <v>160</v>
      </c>
      <c r="N19" s="7" t="s">
        <v>278</v>
      </c>
      <c r="O19" s="7" t="s">
        <v>383</v>
      </c>
    </row>
    <row r="20" spans="1:15" x14ac:dyDescent="0.25">
      <c r="A20" s="7">
        <v>17</v>
      </c>
      <c r="B20" s="7">
        <v>2</v>
      </c>
      <c r="C20" s="7">
        <v>2</v>
      </c>
      <c r="D20" s="7" t="str">
        <f>IFERROR(INDEX(FishGroup!$B$4:$B$31,MATCH(B20,FishGroup!$A$4:$A$31,0)),"기타")</f>
        <v>탱</v>
      </c>
      <c r="E20" s="7" t="s">
        <v>45</v>
      </c>
      <c r="F20" s="7">
        <v>170</v>
      </c>
      <c r="G20" s="7" t="s">
        <v>480</v>
      </c>
      <c r="H20" s="7">
        <v>0</v>
      </c>
      <c r="I20" s="7">
        <v>100</v>
      </c>
      <c r="J20" s="7">
        <v>65</v>
      </c>
      <c r="K20" s="7">
        <v>500</v>
      </c>
      <c r="L20" s="7">
        <v>250</v>
      </c>
      <c r="M20" s="7" t="s">
        <v>161</v>
      </c>
      <c r="N20" s="7" t="s">
        <v>279</v>
      </c>
      <c r="O20" s="7" t="s">
        <v>384</v>
      </c>
    </row>
    <row r="21" spans="1:15" x14ac:dyDescent="0.25">
      <c r="A21" s="7">
        <v>18</v>
      </c>
      <c r="B21" s="7">
        <v>999</v>
      </c>
      <c r="C21" s="7">
        <v>2</v>
      </c>
      <c r="D21" s="7" t="str">
        <f>IFERROR(INDEX(FishGroup!$B$4:$B$31,MATCH(B21,FishGroup!$A$4:$A$31,0)),"기타")</f>
        <v>기타</v>
      </c>
      <c r="E21" s="7" t="s">
        <v>58</v>
      </c>
      <c r="F21" s="7">
        <v>180</v>
      </c>
      <c r="G21" s="7" t="s">
        <v>484</v>
      </c>
      <c r="H21" s="7">
        <v>0</v>
      </c>
      <c r="I21" s="7">
        <v>100</v>
      </c>
      <c r="J21" s="7">
        <v>65</v>
      </c>
      <c r="K21" s="7">
        <v>500</v>
      </c>
      <c r="L21" s="7">
        <v>250</v>
      </c>
      <c r="M21" s="7" t="s">
        <v>172</v>
      </c>
      <c r="N21" s="7" t="s">
        <v>290</v>
      </c>
      <c r="O21" s="7" t="s">
        <v>395</v>
      </c>
    </row>
    <row r="22" spans="1:15" x14ac:dyDescent="0.25">
      <c r="A22" s="7">
        <v>19</v>
      </c>
      <c r="B22" s="7">
        <v>3</v>
      </c>
      <c r="C22" s="7">
        <v>1</v>
      </c>
      <c r="D22" s="7" t="str">
        <f>IFERROR(INDEX(FishGroup!$B$4:$B$31,MATCH(B22,FishGroup!$A$4:$A$31,0)),"기타")</f>
        <v>담셀</v>
      </c>
      <c r="E22" s="7" t="s">
        <v>48</v>
      </c>
      <c r="F22" s="7">
        <v>190</v>
      </c>
      <c r="G22" s="7" t="s">
        <v>479</v>
      </c>
      <c r="H22" s="7">
        <v>0</v>
      </c>
      <c r="I22" s="7">
        <v>100</v>
      </c>
      <c r="J22" s="7">
        <v>100</v>
      </c>
      <c r="K22" s="7">
        <v>500</v>
      </c>
      <c r="L22" s="7">
        <v>250</v>
      </c>
      <c r="M22" s="7" t="s">
        <v>163</v>
      </c>
      <c r="N22" s="7" t="s">
        <v>281</v>
      </c>
      <c r="O22" s="7" t="s">
        <v>386</v>
      </c>
    </row>
    <row r="23" spans="1:15" x14ac:dyDescent="0.25">
      <c r="A23" s="7">
        <v>20</v>
      </c>
      <c r="B23" s="7">
        <v>3</v>
      </c>
      <c r="C23" s="7">
        <v>1</v>
      </c>
      <c r="D23" s="7" t="str">
        <f>IFERROR(INDEX(FishGroup!$B$4:$B$31,MATCH(B23,FishGroup!$A$4:$A$31,0)),"기타")</f>
        <v>담셀</v>
      </c>
      <c r="E23" s="7" t="s">
        <v>49</v>
      </c>
      <c r="F23" s="7">
        <v>200</v>
      </c>
      <c r="G23" s="7" t="s">
        <v>479</v>
      </c>
      <c r="H23" s="7">
        <v>0</v>
      </c>
      <c r="I23" s="7">
        <v>100</v>
      </c>
      <c r="J23" s="7">
        <v>100</v>
      </c>
      <c r="K23" s="7">
        <v>500</v>
      </c>
      <c r="L23" s="7">
        <v>250</v>
      </c>
      <c r="M23" s="7" t="s">
        <v>164</v>
      </c>
      <c r="N23" s="7" t="s">
        <v>282</v>
      </c>
      <c r="O23" s="7" t="s">
        <v>387</v>
      </c>
    </row>
    <row r="24" spans="1:15" ht="16.5" x14ac:dyDescent="0.25">
      <c r="A24" s="7">
        <v>21</v>
      </c>
      <c r="B24" s="7">
        <v>999</v>
      </c>
      <c r="C24" s="7">
        <v>2</v>
      </c>
      <c r="D24" s="7" t="str">
        <f>IFERROR(INDEX(FishGroup!$B$4:$B$31,MATCH(B24,FishGroup!$A$4:$A$31,0)),"기타")</f>
        <v>기타</v>
      </c>
      <c r="E24" s="27" t="s">
        <v>1046</v>
      </c>
      <c r="F24" s="7">
        <v>210</v>
      </c>
      <c r="G24" s="19" t="s">
        <v>1066</v>
      </c>
      <c r="H24" s="7">
        <v>0</v>
      </c>
      <c r="I24" s="7">
        <v>100</v>
      </c>
      <c r="J24" s="7">
        <v>60</v>
      </c>
      <c r="K24" s="7">
        <v>500</v>
      </c>
      <c r="L24" s="7">
        <v>250</v>
      </c>
      <c r="M24" s="19" t="s">
        <v>1063</v>
      </c>
      <c r="N24" s="7" t="s">
        <v>1047</v>
      </c>
      <c r="O24" s="19" t="s">
        <v>1067</v>
      </c>
    </row>
    <row r="25" spans="1:15" x14ac:dyDescent="0.25">
      <c r="A25" s="7">
        <v>22</v>
      </c>
      <c r="B25" s="7">
        <v>24</v>
      </c>
      <c r="C25" s="7">
        <v>1</v>
      </c>
      <c r="D25" s="7" t="str">
        <f>IFERROR(INDEX(FishGroup!$B$4:$B$31,MATCH(B25,FishGroup!$A$4:$A$31,0)),"기타")</f>
        <v>챠로미스</v>
      </c>
      <c r="E25" s="7" t="s">
        <v>100</v>
      </c>
      <c r="F25" s="7">
        <v>220</v>
      </c>
      <c r="G25" s="7" t="s">
        <v>479</v>
      </c>
      <c r="H25" s="7">
        <v>0</v>
      </c>
      <c r="I25" s="7">
        <v>100</v>
      </c>
      <c r="J25" s="7">
        <v>100</v>
      </c>
      <c r="K25" s="7">
        <v>500</v>
      </c>
      <c r="L25" s="7">
        <v>250</v>
      </c>
      <c r="M25" s="7" t="s">
        <v>208</v>
      </c>
      <c r="N25" s="7" t="s">
        <v>326</v>
      </c>
      <c r="O25" s="7" t="s">
        <v>431</v>
      </c>
    </row>
    <row r="26" spans="1:15" x14ac:dyDescent="0.25">
      <c r="A26" s="7">
        <v>23</v>
      </c>
      <c r="B26" s="7">
        <v>24</v>
      </c>
      <c r="C26" s="7">
        <v>1</v>
      </c>
      <c r="D26" s="7" t="str">
        <f>IFERROR(INDEX(FishGroup!$B$4:$B$31,MATCH(B26,FishGroup!$A$4:$A$31,0)),"기타")</f>
        <v>챠로미스</v>
      </c>
      <c r="E26" s="7" t="s">
        <v>101</v>
      </c>
      <c r="F26" s="7">
        <v>230</v>
      </c>
      <c r="G26" s="7" t="s">
        <v>479</v>
      </c>
      <c r="H26" s="7">
        <v>0</v>
      </c>
      <c r="I26" s="7">
        <v>100</v>
      </c>
      <c r="J26" s="7">
        <v>100</v>
      </c>
      <c r="K26" s="7">
        <v>500</v>
      </c>
      <c r="L26" s="7">
        <v>250</v>
      </c>
      <c r="M26" s="7" t="s">
        <v>209</v>
      </c>
      <c r="N26" s="7" t="s">
        <v>327</v>
      </c>
      <c r="O26" s="7" t="s">
        <v>432</v>
      </c>
    </row>
    <row r="27" spans="1:15" x14ac:dyDescent="0.25">
      <c r="A27" s="7">
        <v>24</v>
      </c>
      <c r="B27" s="7">
        <v>3</v>
      </c>
      <c r="C27" s="7">
        <v>2</v>
      </c>
      <c r="D27" s="7" t="str">
        <f>IFERROR(INDEX(FishGroup!$B$4:$B$31,MATCH(B27,FishGroup!$A$4:$A$31,0)),"기타")</f>
        <v>담셀</v>
      </c>
      <c r="E27" s="7" t="s">
        <v>51</v>
      </c>
      <c r="F27" s="7">
        <v>240</v>
      </c>
      <c r="G27" s="7" t="s">
        <v>479</v>
      </c>
      <c r="H27" s="7">
        <v>0</v>
      </c>
      <c r="I27" s="7">
        <v>100</v>
      </c>
      <c r="J27" s="7">
        <v>100</v>
      </c>
      <c r="K27" s="7">
        <v>500</v>
      </c>
      <c r="L27" s="7">
        <v>250</v>
      </c>
      <c r="M27" s="7" t="s">
        <v>166</v>
      </c>
      <c r="N27" s="7" t="s">
        <v>284</v>
      </c>
      <c r="O27" s="7" t="s">
        <v>389</v>
      </c>
    </row>
    <row r="28" spans="1:15" x14ac:dyDescent="0.25">
      <c r="A28" s="7">
        <v>25</v>
      </c>
      <c r="B28" s="7">
        <v>4</v>
      </c>
      <c r="C28" s="7">
        <v>1</v>
      </c>
      <c r="D28" s="7" t="str">
        <f>IFERROR(INDEX(FishGroup!$B$4:$B$31,MATCH(B28,FishGroup!$A$4:$A$31,0)),"기타")</f>
        <v>앤젤</v>
      </c>
      <c r="E28" s="7" t="s">
        <v>512</v>
      </c>
      <c r="F28" s="7">
        <v>250</v>
      </c>
      <c r="G28" s="7" t="s">
        <v>481</v>
      </c>
      <c r="H28" s="7">
        <v>0</v>
      </c>
      <c r="I28" s="7">
        <v>100</v>
      </c>
      <c r="J28" s="7">
        <v>70</v>
      </c>
      <c r="K28" s="7">
        <v>500</v>
      </c>
      <c r="L28" s="7">
        <v>250</v>
      </c>
      <c r="M28" s="7" t="s">
        <v>498</v>
      </c>
      <c r="N28" s="7" t="s">
        <v>499</v>
      </c>
      <c r="O28" s="19" t="s">
        <v>538</v>
      </c>
    </row>
    <row r="29" spans="1:15" x14ac:dyDescent="0.25">
      <c r="A29" s="7">
        <v>26</v>
      </c>
      <c r="B29" s="7">
        <v>4</v>
      </c>
      <c r="C29" s="7">
        <v>1</v>
      </c>
      <c r="D29" s="7" t="str">
        <f>IFERROR(INDEX(FishGroup!$B$4:$B$31,MATCH(B29,FishGroup!$A$4:$A$31,0)),"기타")</f>
        <v>앤젤</v>
      </c>
      <c r="E29" s="7" t="s">
        <v>513</v>
      </c>
      <c r="F29" s="7">
        <v>260</v>
      </c>
      <c r="G29" s="7" t="s">
        <v>481</v>
      </c>
      <c r="H29" s="7">
        <v>0</v>
      </c>
      <c r="I29" s="7">
        <v>100</v>
      </c>
      <c r="J29" s="7">
        <v>70</v>
      </c>
      <c r="K29" s="7">
        <v>500</v>
      </c>
      <c r="L29" s="7">
        <v>250</v>
      </c>
      <c r="M29" s="7" t="s">
        <v>500</v>
      </c>
      <c r="N29" s="7" t="s">
        <v>501</v>
      </c>
      <c r="O29" s="7" t="s">
        <v>528</v>
      </c>
    </row>
    <row r="30" spans="1:15" x14ac:dyDescent="0.25">
      <c r="A30" s="7">
        <v>27</v>
      </c>
      <c r="B30" s="7">
        <v>4</v>
      </c>
      <c r="C30" s="7">
        <v>1</v>
      </c>
      <c r="D30" s="7" t="str">
        <f>IFERROR(INDEX(FishGroup!$B$4:$B$31,MATCH(B30,FishGroup!$A$4:$A$31,0)),"기타")</f>
        <v>앤젤</v>
      </c>
      <c r="E30" s="7" t="s">
        <v>88</v>
      </c>
      <c r="F30" s="7">
        <v>270</v>
      </c>
      <c r="G30" s="7" t="s">
        <v>481</v>
      </c>
      <c r="H30" s="7">
        <v>0</v>
      </c>
      <c r="I30" s="7">
        <v>100</v>
      </c>
      <c r="J30" s="7">
        <v>70</v>
      </c>
      <c r="K30" s="7">
        <v>500</v>
      </c>
      <c r="L30" s="7">
        <v>250</v>
      </c>
      <c r="M30" s="7" t="s">
        <v>198</v>
      </c>
      <c r="N30" s="7" t="s">
        <v>316</v>
      </c>
      <c r="O30" s="7" t="s">
        <v>421</v>
      </c>
    </row>
    <row r="31" spans="1:15" x14ac:dyDescent="0.25">
      <c r="A31" s="7">
        <v>28</v>
      </c>
      <c r="B31" s="7">
        <v>4</v>
      </c>
      <c r="C31" s="7">
        <v>2</v>
      </c>
      <c r="D31" s="7" t="str">
        <f>IFERROR(INDEX(FishGroup!$B$4:$B$31,MATCH(B31,FishGroup!$A$4:$A$31,0)),"기타")</f>
        <v>앤젤</v>
      </c>
      <c r="E31" s="7" t="s">
        <v>89</v>
      </c>
      <c r="F31" s="7">
        <v>280</v>
      </c>
      <c r="G31" s="7" t="s">
        <v>481</v>
      </c>
      <c r="H31" s="7">
        <v>0</v>
      </c>
      <c r="I31" s="7">
        <v>100</v>
      </c>
      <c r="J31" s="7">
        <v>70</v>
      </c>
      <c r="K31" s="7">
        <v>500</v>
      </c>
      <c r="L31" s="7">
        <v>250</v>
      </c>
      <c r="M31" s="7" t="s">
        <v>199</v>
      </c>
      <c r="N31" s="7" t="s">
        <v>317</v>
      </c>
      <c r="O31" s="7" t="s">
        <v>422</v>
      </c>
    </row>
    <row r="32" spans="1:15" x14ac:dyDescent="0.25">
      <c r="A32" s="7">
        <v>29</v>
      </c>
      <c r="B32" s="7">
        <v>4</v>
      </c>
      <c r="C32" s="7">
        <v>2</v>
      </c>
      <c r="D32" s="7" t="str">
        <f>IFERROR(INDEX(FishGroup!$B$4:$B$31,MATCH(B32,FishGroup!$A$4:$A$31,0)),"기타")</f>
        <v>앤젤</v>
      </c>
      <c r="E32" s="7" t="s">
        <v>514</v>
      </c>
      <c r="F32" s="7">
        <v>290</v>
      </c>
      <c r="G32" s="7" t="s">
        <v>481</v>
      </c>
      <c r="H32" s="7">
        <v>0</v>
      </c>
      <c r="I32" s="7">
        <v>100</v>
      </c>
      <c r="J32" s="7">
        <v>75</v>
      </c>
      <c r="K32" s="7">
        <v>500</v>
      </c>
      <c r="L32" s="7">
        <v>250</v>
      </c>
      <c r="M32" s="7" t="s">
        <v>502</v>
      </c>
      <c r="N32" s="19" t="s">
        <v>522</v>
      </c>
      <c r="O32" s="7" t="s">
        <v>529</v>
      </c>
    </row>
    <row r="33" spans="1:15" x14ac:dyDescent="0.25">
      <c r="A33" s="7">
        <v>30</v>
      </c>
      <c r="B33" s="7">
        <v>4</v>
      </c>
      <c r="C33" s="7">
        <v>2</v>
      </c>
      <c r="D33" s="7" t="str">
        <f>IFERROR(INDEX(FishGroup!$B$4:$B$31,MATCH(B33,FishGroup!$A$4:$A$31,0)),"기타")</f>
        <v>앤젤</v>
      </c>
      <c r="E33" s="7" t="s">
        <v>515</v>
      </c>
      <c r="F33" s="7">
        <v>300</v>
      </c>
      <c r="G33" s="7" t="s">
        <v>481</v>
      </c>
      <c r="H33" s="7">
        <v>0</v>
      </c>
      <c r="I33" s="7">
        <v>100</v>
      </c>
      <c r="J33" s="7">
        <v>70</v>
      </c>
      <c r="K33" s="7">
        <v>500</v>
      </c>
      <c r="L33" s="7">
        <v>250</v>
      </c>
      <c r="M33" s="7" t="s">
        <v>503</v>
      </c>
      <c r="N33" s="19" t="s">
        <v>523</v>
      </c>
      <c r="O33" s="7" t="s">
        <v>530</v>
      </c>
    </row>
    <row r="34" spans="1:15" x14ac:dyDescent="0.25">
      <c r="A34" s="7">
        <v>31</v>
      </c>
      <c r="B34" s="7">
        <v>4</v>
      </c>
      <c r="C34" s="7">
        <v>2</v>
      </c>
      <c r="D34" s="7" t="str">
        <f>IFERROR(INDEX(FishGroup!$B$4:$B$31,MATCH(B34,FishGroup!$A$4:$A$31,0)),"기타")</f>
        <v>앤젤</v>
      </c>
      <c r="E34" s="7" t="s">
        <v>90</v>
      </c>
      <c r="F34" s="7">
        <v>310</v>
      </c>
      <c r="G34" s="7" t="s">
        <v>481</v>
      </c>
      <c r="H34" s="7">
        <v>0</v>
      </c>
      <c r="I34" s="7">
        <v>100</v>
      </c>
      <c r="J34" s="7">
        <v>72</v>
      </c>
      <c r="K34" s="7">
        <v>500</v>
      </c>
      <c r="L34" s="7">
        <v>250</v>
      </c>
      <c r="M34" s="7" t="s">
        <v>200</v>
      </c>
      <c r="N34" s="7" t="s">
        <v>318</v>
      </c>
      <c r="O34" s="7" t="s">
        <v>423</v>
      </c>
    </row>
    <row r="35" spans="1:15" x14ac:dyDescent="0.25">
      <c r="A35" s="7">
        <v>32</v>
      </c>
      <c r="B35" s="7">
        <v>6</v>
      </c>
      <c r="C35" s="7">
        <v>1</v>
      </c>
      <c r="D35" s="7" t="str">
        <f>IFERROR(INDEX(FishGroup!$B$4:$B$31,MATCH(B35,FishGroup!$A$4:$A$31,0)),"기타")</f>
        <v>도티백</v>
      </c>
      <c r="E35" s="7" t="s">
        <v>59</v>
      </c>
      <c r="F35" s="7">
        <v>320</v>
      </c>
      <c r="G35" s="7" t="s">
        <v>482</v>
      </c>
      <c r="H35" s="7">
        <v>0</v>
      </c>
      <c r="I35" s="7">
        <v>100</v>
      </c>
      <c r="J35" s="7">
        <v>100</v>
      </c>
      <c r="K35" s="7">
        <v>500</v>
      </c>
      <c r="L35" s="7">
        <v>250</v>
      </c>
      <c r="M35" s="7" t="s">
        <v>173</v>
      </c>
      <c r="N35" s="7" t="s">
        <v>291</v>
      </c>
      <c r="O35" s="7" t="s">
        <v>396</v>
      </c>
    </row>
    <row r="36" spans="1:15" x14ac:dyDescent="0.25">
      <c r="A36" s="7">
        <v>33</v>
      </c>
      <c r="B36" s="7">
        <v>6</v>
      </c>
      <c r="C36" s="7">
        <v>1</v>
      </c>
      <c r="D36" s="7" t="str">
        <f>IFERROR(INDEX(FishGroup!$B$4:$B$31,MATCH(B36,FishGroup!$A$4:$A$31,0)),"기타")</f>
        <v>도티백</v>
      </c>
      <c r="E36" s="7" t="s">
        <v>60</v>
      </c>
      <c r="F36" s="7">
        <v>330</v>
      </c>
      <c r="G36" s="7" t="s">
        <v>482</v>
      </c>
      <c r="H36" s="7">
        <v>0</v>
      </c>
      <c r="I36" s="7">
        <v>100</v>
      </c>
      <c r="J36" s="7">
        <v>100</v>
      </c>
      <c r="K36" s="7">
        <v>500</v>
      </c>
      <c r="L36" s="7">
        <v>250</v>
      </c>
      <c r="M36" s="7" t="s">
        <v>174</v>
      </c>
      <c r="N36" s="7" t="s">
        <v>292</v>
      </c>
      <c r="O36" s="7" t="s">
        <v>397</v>
      </c>
    </row>
    <row r="37" spans="1:15" x14ac:dyDescent="0.25">
      <c r="A37" s="7">
        <v>34</v>
      </c>
      <c r="B37" s="7">
        <v>6</v>
      </c>
      <c r="C37" s="7">
        <v>1</v>
      </c>
      <c r="D37" s="7" t="str">
        <f>IFERROR(INDEX(FishGroup!$B$4:$B$31,MATCH(B37,FishGroup!$A$4:$A$31,0)),"기타")</f>
        <v>도티백</v>
      </c>
      <c r="E37" s="7" t="s">
        <v>61</v>
      </c>
      <c r="F37" s="7">
        <v>340</v>
      </c>
      <c r="G37" s="7" t="s">
        <v>482</v>
      </c>
      <c r="H37" s="7">
        <v>0</v>
      </c>
      <c r="I37" s="7">
        <v>100</v>
      </c>
      <c r="J37" s="7">
        <v>100</v>
      </c>
      <c r="K37" s="7">
        <v>500</v>
      </c>
      <c r="L37" s="7">
        <v>250</v>
      </c>
      <c r="M37" s="7" t="s">
        <v>175</v>
      </c>
      <c r="N37" s="7" t="s">
        <v>293</v>
      </c>
      <c r="O37" s="7" t="s">
        <v>398</v>
      </c>
    </row>
    <row r="38" spans="1:15" x14ac:dyDescent="0.25">
      <c r="A38" s="7">
        <v>35</v>
      </c>
      <c r="B38" s="7">
        <v>6</v>
      </c>
      <c r="C38" s="7">
        <v>2</v>
      </c>
      <c r="D38" s="7" t="str">
        <f>IFERROR(INDEX(FishGroup!$B$4:$B$31,MATCH(B38,FishGroup!$A$4:$A$31,0)),"기타")</f>
        <v>도티백</v>
      </c>
      <c r="E38" s="7" t="s">
        <v>62</v>
      </c>
      <c r="F38" s="7">
        <v>350</v>
      </c>
      <c r="G38" s="7" t="s">
        <v>482</v>
      </c>
      <c r="H38" s="7">
        <v>0</v>
      </c>
      <c r="I38" s="7">
        <v>100</v>
      </c>
      <c r="J38" s="7">
        <v>100</v>
      </c>
      <c r="K38" s="7">
        <v>500</v>
      </c>
      <c r="L38" s="7">
        <v>250</v>
      </c>
      <c r="M38" s="7" t="s">
        <v>176</v>
      </c>
      <c r="N38" s="7" t="s">
        <v>294</v>
      </c>
      <c r="O38" s="7" t="s">
        <v>399</v>
      </c>
    </row>
    <row r="39" spans="1:15" x14ac:dyDescent="0.25">
      <c r="A39" s="7">
        <v>36</v>
      </c>
      <c r="B39" s="7">
        <v>999</v>
      </c>
      <c r="C39" s="7">
        <v>2</v>
      </c>
      <c r="D39" s="7" t="str">
        <f>IFERROR(INDEX(FishGroup!$B$4:$B$31,MATCH(B39,FishGroup!$A$4:$A$31,0)),"기타")</f>
        <v>기타</v>
      </c>
      <c r="E39" s="7" t="s">
        <v>46</v>
      </c>
      <c r="F39" s="7">
        <v>360</v>
      </c>
      <c r="G39" s="7" t="s">
        <v>482</v>
      </c>
      <c r="H39" s="7">
        <v>0</v>
      </c>
      <c r="I39" s="7">
        <v>100</v>
      </c>
      <c r="J39" s="7">
        <v>100</v>
      </c>
      <c r="K39" s="7">
        <v>500</v>
      </c>
      <c r="L39" s="7">
        <v>250</v>
      </c>
      <c r="M39" s="7" t="s">
        <v>162</v>
      </c>
      <c r="N39" s="7" t="s">
        <v>280</v>
      </c>
      <c r="O39" s="7" t="s">
        <v>385</v>
      </c>
    </row>
    <row r="40" spans="1:15" x14ac:dyDescent="0.25">
      <c r="A40" s="7">
        <v>37</v>
      </c>
      <c r="B40" s="7">
        <v>7</v>
      </c>
      <c r="C40" s="7">
        <v>1</v>
      </c>
      <c r="D40" s="7" t="str">
        <f>IFERROR(INDEX(FishGroup!$B$4:$B$31,MATCH(B40,FishGroup!$A$4:$A$31,0)),"기타")</f>
        <v>나비</v>
      </c>
      <c r="E40" s="7" t="s">
        <v>53</v>
      </c>
      <c r="F40" s="7">
        <v>370</v>
      </c>
      <c r="G40" s="7" t="s">
        <v>483</v>
      </c>
      <c r="H40" s="7">
        <v>0</v>
      </c>
      <c r="I40" s="7">
        <v>100</v>
      </c>
      <c r="J40" s="7">
        <v>78</v>
      </c>
      <c r="K40" s="7">
        <v>500</v>
      </c>
      <c r="L40" s="7">
        <v>250</v>
      </c>
      <c r="M40" s="7" t="s">
        <v>167</v>
      </c>
      <c r="N40" s="7" t="s">
        <v>285</v>
      </c>
      <c r="O40" s="7" t="s">
        <v>390</v>
      </c>
    </row>
    <row r="41" spans="1:15" x14ac:dyDescent="0.25">
      <c r="A41" s="7">
        <v>38</v>
      </c>
      <c r="B41" s="7">
        <v>7</v>
      </c>
      <c r="C41" s="7">
        <v>1</v>
      </c>
      <c r="D41" s="7" t="str">
        <f>IFERROR(INDEX(FishGroup!$B$4:$B$31,MATCH(B41,FishGroup!$A$4:$A$31,0)),"기타")</f>
        <v>나비</v>
      </c>
      <c r="E41" s="7" t="s">
        <v>54</v>
      </c>
      <c r="F41" s="7">
        <v>380</v>
      </c>
      <c r="G41" s="7" t="s">
        <v>483</v>
      </c>
      <c r="H41" s="7">
        <v>0</v>
      </c>
      <c r="I41" s="7">
        <v>100</v>
      </c>
      <c r="J41" s="7">
        <v>70</v>
      </c>
      <c r="K41" s="7">
        <v>500</v>
      </c>
      <c r="L41" s="7">
        <v>250</v>
      </c>
      <c r="M41" s="7" t="s">
        <v>168</v>
      </c>
      <c r="N41" s="7" t="s">
        <v>286</v>
      </c>
      <c r="O41" s="7" t="s">
        <v>391</v>
      </c>
    </row>
    <row r="42" spans="1:15" x14ac:dyDescent="0.25">
      <c r="A42" s="7">
        <v>39</v>
      </c>
      <c r="B42" s="7">
        <v>7</v>
      </c>
      <c r="C42" s="7">
        <v>1</v>
      </c>
      <c r="D42" s="7" t="str">
        <f>IFERROR(INDEX(FishGroup!$B$4:$B$31,MATCH(B42,FishGroup!$A$4:$A$31,0)),"기타")</f>
        <v>나비</v>
      </c>
      <c r="E42" s="7" t="s">
        <v>55</v>
      </c>
      <c r="F42" s="7">
        <v>390</v>
      </c>
      <c r="G42" s="7" t="s">
        <v>483</v>
      </c>
      <c r="H42" s="7">
        <v>0</v>
      </c>
      <c r="I42" s="7">
        <v>100</v>
      </c>
      <c r="J42" s="7">
        <v>70</v>
      </c>
      <c r="K42" s="7">
        <v>500</v>
      </c>
      <c r="L42" s="7">
        <v>250</v>
      </c>
      <c r="M42" s="7" t="s">
        <v>169</v>
      </c>
      <c r="N42" s="7" t="s">
        <v>287</v>
      </c>
      <c r="O42" s="7" t="s">
        <v>392</v>
      </c>
    </row>
    <row r="43" spans="1:15" x14ac:dyDescent="0.25">
      <c r="A43" s="7">
        <v>40</v>
      </c>
      <c r="B43" s="7">
        <v>7</v>
      </c>
      <c r="C43" s="7">
        <v>1</v>
      </c>
      <c r="D43" s="7" t="str">
        <f>IFERROR(INDEX(FishGroup!$B$4:$B$31,MATCH(B43,FishGroup!$A$4:$A$31,0)),"기타")</f>
        <v>나비</v>
      </c>
      <c r="E43" s="7" t="s">
        <v>56</v>
      </c>
      <c r="F43" s="7">
        <v>400</v>
      </c>
      <c r="G43" s="7" t="s">
        <v>483</v>
      </c>
      <c r="H43" s="7">
        <v>0</v>
      </c>
      <c r="I43" s="7">
        <v>100</v>
      </c>
      <c r="J43" s="7">
        <v>70</v>
      </c>
      <c r="K43" s="7">
        <v>500</v>
      </c>
      <c r="L43" s="7">
        <v>250</v>
      </c>
      <c r="M43" s="7" t="s">
        <v>170</v>
      </c>
      <c r="N43" s="7" t="s">
        <v>288</v>
      </c>
      <c r="O43" s="7" t="s">
        <v>393</v>
      </c>
    </row>
    <row r="44" spans="1:15" x14ac:dyDescent="0.25">
      <c r="A44" s="7">
        <v>41</v>
      </c>
      <c r="B44" s="7">
        <v>999</v>
      </c>
      <c r="C44" s="7">
        <v>2</v>
      </c>
      <c r="D44" s="7" t="str">
        <f>IFERROR(INDEX(FishGroup!$B$4:$B$31,MATCH(B44,FishGroup!$A$4:$A$31,0)),"기타")</f>
        <v>기타</v>
      </c>
      <c r="E44" s="7" t="s">
        <v>42</v>
      </c>
      <c r="F44" s="7">
        <v>410</v>
      </c>
      <c r="G44" s="7" t="s">
        <v>481</v>
      </c>
      <c r="H44" s="7">
        <v>0</v>
      </c>
      <c r="I44" s="7">
        <v>100</v>
      </c>
      <c r="J44" s="7">
        <v>65</v>
      </c>
      <c r="K44" s="7">
        <v>500</v>
      </c>
      <c r="L44" s="7">
        <v>250</v>
      </c>
      <c r="M44" s="7" t="s">
        <v>158</v>
      </c>
      <c r="N44" s="7" t="s">
        <v>276</v>
      </c>
      <c r="O44" s="7" t="s">
        <v>381</v>
      </c>
    </row>
    <row r="45" spans="1:15" x14ac:dyDescent="0.25">
      <c r="A45" s="7">
        <v>42</v>
      </c>
      <c r="B45" s="7">
        <v>999</v>
      </c>
      <c r="C45" s="7">
        <v>2</v>
      </c>
      <c r="D45" s="7" t="str">
        <f>IFERROR(INDEX(FishGroup!$B$4:$B$31,MATCH(B45,FishGroup!$A$4:$A$31,0)),"기타")</f>
        <v>기타</v>
      </c>
      <c r="E45" s="7" t="s">
        <v>57</v>
      </c>
      <c r="F45" s="7">
        <v>420</v>
      </c>
      <c r="G45" s="7" t="s">
        <v>483</v>
      </c>
      <c r="H45" s="7">
        <v>0</v>
      </c>
      <c r="I45" s="7">
        <v>100</v>
      </c>
      <c r="J45" s="7">
        <v>78</v>
      </c>
      <c r="K45" s="7">
        <v>500</v>
      </c>
      <c r="L45" s="7">
        <v>250</v>
      </c>
      <c r="M45" s="7" t="s">
        <v>171</v>
      </c>
      <c r="N45" s="7" t="s">
        <v>289</v>
      </c>
      <c r="O45" s="7" t="s">
        <v>394</v>
      </c>
    </row>
    <row r="46" spans="1:15" x14ac:dyDescent="0.25">
      <c r="A46" s="7">
        <v>43</v>
      </c>
      <c r="B46" s="7">
        <v>8</v>
      </c>
      <c r="C46" s="7">
        <v>1</v>
      </c>
      <c r="D46" s="7" t="str">
        <f>IFERROR(INDEX(FishGroup!$B$4:$B$31,MATCH(B46,FishGroup!$A$4:$A$31,0)),"기타")</f>
        <v>패럿피쉬</v>
      </c>
      <c r="E46" s="7" t="s">
        <v>93</v>
      </c>
      <c r="F46" s="7">
        <v>430</v>
      </c>
      <c r="G46" s="7" t="s">
        <v>483</v>
      </c>
      <c r="H46" s="7">
        <v>0</v>
      </c>
      <c r="I46" s="7">
        <v>100</v>
      </c>
      <c r="J46" s="7">
        <v>80</v>
      </c>
      <c r="K46" s="7">
        <v>500</v>
      </c>
      <c r="L46" s="7">
        <v>300</v>
      </c>
      <c r="M46" s="7" t="s">
        <v>202</v>
      </c>
      <c r="N46" s="7" t="s">
        <v>320</v>
      </c>
      <c r="O46" s="7" t="s">
        <v>425</v>
      </c>
    </row>
    <row r="47" spans="1:15" x14ac:dyDescent="0.25">
      <c r="A47" s="7">
        <v>44</v>
      </c>
      <c r="B47" s="7">
        <v>8</v>
      </c>
      <c r="C47" s="7">
        <v>1</v>
      </c>
      <c r="D47" s="7" t="str">
        <f>IFERROR(INDEX(FishGroup!$B$4:$B$31,MATCH(B47,FishGroup!$A$4:$A$31,0)),"기타")</f>
        <v>패럿피쉬</v>
      </c>
      <c r="E47" s="7" t="s">
        <v>94</v>
      </c>
      <c r="F47" s="7">
        <v>440</v>
      </c>
      <c r="G47" s="7" t="s">
        <v>483</v>
      </c>
      <c r="H47" s="7">
        <v>0</v>
      </c>
      <c r="I47" s="7">
        <v>100</v>
      </c>
      <c r="J47" s="7">
        <v>80</v>
      </c>
      <c r="K47" s="7">
        <v>500</v>
      </c>
      <c r="L47" s="7">
        <v>300</v>
      </c>
      <c r="M47" s="7" t="s">
        <v>203</v>
      </c>
      <c r="N47" s="7" t="s">
        <v>321</v>
      </c>
      <c r="O47" s="7" t="s">
        <v>426</v>
      </c>
    </row>
    <row r="48" spans="1:15" x14ac:dyDescent="0.25">
      <c r="A48" s="7">
        <v>45</v>
      </c>
      <c r="B48" s="7">
        <v>999</v>
      </c>
      <c r="C48" s="7">
        <v>2</v>
      </c>
      <c r="D48" s="7" t="str">
        <f>IFERROR(INDEX(FishGroup!$B$4:$B$31,MATCH(B48,FishGroup!$A$4:$A$31,0)),"기타")</f>
        <v>기타</v>
      </c>
      <c r="E48" s="7" t="s">
        <v>71</v>
      </c>
      <c r="F48" s="7">
        <v>450</v>
      </c>
      <c r="G48" s="7" t="s">
        <v>483</v>
      </c>
      <c r="H48" s="7">
        <v>0</v>
      </c>
      <c r="I48" s="7">
        <v>100</v>
      </c>
      <c r="J48" s="7">
        <v>60</v>
      </c>
      <c r="K48" s="7">
        <v>500</v>
      </c>
      <c r="L48" s="7">
        <v>300</v>
      </c>
      <c r="M48" s="7" t="s">
        <v>184</v>
      </c>
      <c r="N48" s="7" t="s">
        <v>302</v>
      </c>
      <c r="O48" s="7" t="s">
        <v>407</v>
      </c>
    </row>
    <row r="49" spans="1:15" x14ac:dyDescent="0.25">
      <c r="A49" s="7">
        <v>46</v>
      </c>
      <c r="B49" s="7">
        <v>999</v>
      </c>
      <c r="C49" s="7">
        <v>2</v>
      </c>
      <c r="D49" s="7" t="str">
        <f>IFERROR(INDEX(FishGroup!$B$4:$B$31,MATCH(B49,FishGroup!$A$4:$A$31,0)),"기타")</f>
        <v>기타</v>
      </c>
      <c r="E49" s="7" t="s">
        <v>516</v>
      </c>
      <c r="F49" s="7">
        <v>460</v>
      </c>
      <c r="G49" s="7" t="s">
        <v>483</v>
      </c>
      <c r="H49" s="7">
        <v>0</v>
      </c>
      <c r="I49" s="7">
        <v>100</v>
      </c>
      <c r="J49" s="7">
        <v>80</v>
      </c>
      <c r="K49" s="7">
        <v>500</v>
      </c>
      <c r="L49" s="7">
        <v>300</v>
      </c>
      <c r="M49" s="7" t="s">
        <v>504</v>
      </c>
      <c r="N49" s="7" t="s">
        <v>505</v>
      </c>
      <c r="O49" s="7" t="s">
        <v>531</v>
      </c>
    </row>
    <row r="50" spans="1:15" x14ac:dyDescent="0.25">
      <c r="A50" s="7">
        <v>47</v>
      </c>
      <c r="B50" s="7">
        <v>999</v>
      </c>
      <c r="C50" s="7">
        <v>2</v>
      </c>
      <c r="D50" s="7" t="str">
        <f>IFERROR(INDEX(FishGroup!$B$4:$B$31,MATCH(B50,FishGroup!$A$4:$A$31,0)),"기타")</f>
        <v>기타</v>
      </c>
      <c r="E50" s="7" t="s">
        <v>517</v>
      </c>
      <c r="F50" s="7">
        <v>470</v>
      </c>
      <c r="G50" s="7" t="s">
        <v>484</v>
      </c>
      <c r="H50" s="7">
        <v>0</v>
      </c>
      <c r="I50" s="7">
        <v>100</v>
      </c>
      <c r="J50" s="7">
        <v>60</v>
      </c>
      <c r="K50" s="7">
        <v>500</v>
      </c>
      <c r="L50" s="7">
        <v>300</v>
      </c>
      <c r="M50" s="7" t="s">
        <v>506</v>
      </c>
      <c r="N50" s="19" t="s">
        <v>524</v>
      </c>
      <c r="O50" s="7" t="s">
        <v>532</v>
      </c>
    </row>
    <row r="51" spans="1:15" x14ac:dyDescent="0.25">
      <c r="A51" s="7">
        <v>48</v>
      </c>
      <c r="B51" s="7">
        <v>9</v>
      </c>
      <c r="C51" s="7">
        <v>1</v>
      </c>
      <c r="D51" s="7" t="str">
        <f>IFERROR(INDEX(FishGroup!$B$4:$B$31,MATCH(B51,FishGroup!$A$4:$A$31,0)),"기타")</f>
        <v>복어</v>
      </c>
      <c r="E51" s="7" t="s">
        <v>74</v>
      </c>
      <c r="F51" s="7">
        <v>480</v>
      </c>
      <c r="G51" s="7" t="s">
        <v>484</v>
      </c>
      <c r="H51" s="7">
        <v>0</v>
      </c>
      <c r="I51" s="7">
        <v>100</v>
      </c>
      <c r="J51" s="7">
        <v>73</v>
      </c>
      <c r="K51" s="7">
        <v>500</v>
      </c>
      <c r="L51" s="7">
        <v>250</v>
      </c>
      <c r="M51" s="7" t="s">
        <v>186</v>
      </c>
      <c r="N51" s="7" t="s">
        <v>304</v>
      </c>
      <c r="O51" s="7" t="s">
        <v>409</v>
      </c>
    </row>
    <row r="52" spans="1:15" x14ac:dyDescent="0.25">
      <c r="A52" s="7">
        <v>49</v>
      </c>
      <c r="B52" s="7">
        <v>9</v>
      </c>
      <c r="C52" s="7">
        <v>1</v>
      </c>
      <c r="D52" s="7" t="str">
        <f>IFERROR(INDEX(FishGroup!$B$4:$B$31,MATCH(B52,FishGroup!$A$4:$A$31,0)),"기타")</f>
        <v>복어</v>
      </c>
      <c r="E52" s="7" t="s">
        <v>75</v>
      </c>
      <c r="F52" s="7">
        <v>490</v>
      </c>
      <c r="G52" s="7" t="s">
        <v>484</v>
      </c>
      <c r="H52" s="7">
        <v>0</v>
      </c>
      <c r="I52" s="7">
        <v>100</v>
      </c>
      <c r="J52" s="7">
        <v>85</v>
      </c>
      <c r="K52" s="7">
        <v>500</v>
      </c>
      <c r="L52" s="7">
        <v>250</v>
      </c>
      <c r="M52" s="7" t="s">
        <v>187</v>
      </c>
      <c r="N52" s="7" t="s">
        <v>305</v>
      </c>
      <c r="O52" s="7" t="s">
        <v>410</v>
      </c>
    </row>
    <row r="53" spans="1:15" x14ac:dyDescent="0.25">
      <c r="A53" s="7">
        <v>50</v>
      </c>
      <c r="B53" s="7">
        <v>9</v>
      </c>
      <c r="C53" s="7">
        <v>1</v>
      </c>
      <c r="D53" s="7" t="str">
        <f>IFERROR(INDEX(FishGroup!$B$4:$B$31,MATCH(B53,FishGroup!$A$4:$A$31,0)),"기타")</f>
        <v>복어</v>
      </c>
      <c r="E53" s="7" t="s">
        <v>76</v>
      </c>
      <c r="F53" s="7">
        <v>500</v>
      </c>
      <c r="G53" s="7" t="s">
        <v>484</v>
      </c>
      <c r="H53" s="7">
        <v>0</v>
      </c>
      <c r="I53" s="7">
        <v>100</v>
      </c>
      <c r="J53" s="7">
        <v>85</v>
      </c>
      <c r="K53" s="7">
        <v>500</v>
      </c>
      <c r="L53" s="7">
        <v>250</v>
      </c>
      <c r="M53" s="7" t="s">
        <v>188</v>
      </c>
      <c r="N53" s="7" t="s">
        <v>306</v>
      </c>
      <c r="O53" s="7" t="s">
        <v>411</v>
      </c>
    </row>
    <row r="54" spans="1:15" x14ac:dyDescent="0.25">
      <c r="A54" s="7">
        <v>51</v>
      </c>
      <c r="B54" s="7">
        <v>9</v>
      </c>
      <c r="C54" s="7">
        <v>2</v>
      </c>
      <c r="D54" s="7" t="str">
        <f>IFERROR(INDEX(FishGroup!$B$4:$B$31,MATCH(B54,FishGroup!$A$4:$A$31,0)),"기타")</f>
        <v>복어</v>
      </c>
      <c r="E54" s="7" t="s">
        <v>77</v>
      </c>
      <c r="F54" s="7">
        <v>510</v>
      </c>
      <c r="G54" s="7" t="s">
        <v>484</v>
      </c>
      <c r="H54" s="7">
        <v>0</v>
      </c>
      <c r="I54" s="7">
        <v>100</v>
      </c>
      <c r="J54" s="7">
        <v>73</v>
      </c>
      <c r="K54" s="7">
        <v>500</v>
      </c>
      <c r="L54" s="7">
        <v>250</v>
      </c>
      <c r="M54" s="7" t="s">
        <v>189</v>
      </c>
      <c r="N54" s="7" t="s">
        <v>307</v>
      </c>
      <c r="O54" s="7" t="s">
        <v>412</v>
      </c>
    </row>
    <row r="55" spans="1:15" x14ac:dyDescent="0.25">
      <c r="A55" s="7">
        <v>52</v>
      </c>
      <c r="B55" s="7">
        <v>9</v>
      </c>
      <c r="C55" s="7">
        <v>1</v>
      </c>
      <c r="D55" s="7" t="str">
        <f>IFERROR(INDEX(FishGroup!$B$4:$B$31,MATCH(B55,FishGroup!$A$4:$A$31,0)),"기타")</f>
        <v>복어</v>
      </c>
      <c r="E55" s="7" t="s">
        <v>78</v>
      </c>
      <c r="F55" s="7">
        <v>520</v>
      </c>
      <c r="G55" s="7" t="s">
        <v>484</v>
      </c>
      <c r="H55" s="7">
        <v>0</v>
      </c>
      <c r="I55" s="7">
        <v>100</v>
      </c>
      <c r="J55" s="7">
        <v>85</v>
      </c>
      <c r="K55" s="7">
        <v>500</v>
      </c>
      <c r="L55" s="7">
        <v>250</v>
      </c>
      <c r="M55" s="7" t="s">
        <v>190</v>
      </c>
      <c r="N55" s="7" t="s">
        <v>308</v>
      </c>
      <c r="O55" s="7" t="s">
        <v>413</v>
      </c>
    </row>
    <row r="56" spans="1:15" x14ac:dyDescent="0.25">
      <c r="A56" s="7">
        <v>53</v>
      </c>
      <c r="B56" s="7">
        <v>9</v>
      </c>
      <c r="C56" s="7">
        <v>1</v>
      </c>
      <c r="D56" s="7" t="str">
        <f>IFERROR(INDEX(FishGroup!$B$4:$B$31,MATCH(B56,FishGroup!$A$4:$A$31,0)),"기타")</f>
        <v>복어</v>
      </c>
      <c r="E56" s="7" t="s">
        <v>79</v>
      </c>
      <c r="F56" s="7">
        <v>530</v>
      </c>
      <c r="G56" s="7" t="s">
        <v>484</v>
      </c>
      <c r="H56" s="7">
        <v>0</v>
      </c>
      <c r="I56" s="7">
        <v>100</v>
      </c>
      <c r="J56" s="7">
        <v>85</v>
      </c>
      <c r="K56" s="7">
        <v>500</v>
      </c>
      <c r="L56" s="7">
        <v>250</v>
      </c>
      <c r="M56" s="7" t="s">
        <v>191</v>
      </c>
      <c r="N56" s="7" t="s">
        <v>309</v>
      </c>
      <c r="O56" s="7" t="s">
        <v>414</v>
      </c>
    </row>
    <row r="57" spans="1:15" x14ac:dyDescent="0.25">
      <c r="A57" s="7">
        <v>54</v>
      </c>
      <c r="B57" s="7">
        <v>9</v>
      </c>
      <c r="C57" s="7">
        <v>2</v>
      </c>
      <c r="D57" s="7" t="str">
        <f>IFERROR(INDEX(FishGroup!$B$4:$B$31,MATCH(B57,FishGroup!$A$4:$A$31,0)),"기타")</f>
        <v>복어</v>
      </c>
      <c r="E57" s="7" t="s">
        <v>80</v>
      </c>
      <c r="F57" s="7">
        <v>540</v>
      </c>
      <c r="G57" s="7" t="s">
        <v>484</v>
      </c>
      <c r="H57" s="7">
        <v>0</v>
      </c>
      <c r="I57" s="7">
        <v>100</v>
      </c>
      <c r="J57" s="7">
        <v>75</v>
      </c>
      <c r="K57" s="7">
        <v>500</v>
      </c>
      <c r="L57" s="7">
        <v>250</v>
      </c>
      <c r="M57" s="7" t="s">
        <v>192</v>
      </c>
      <c r="N57" s="7" t="s">
        <v>310</v>
      </c>
      <c r="O57" s="7" t="s">
        <v>415</v>
      </c>
    </row>
    <row r="58" spans="1:15" x14ac:dyDescent="0.25">
      <c r="A58" s="7">
        <v>55</v>
      </c>
      <c r="B58" s="7">
        <v>999</v>
      </c>
      <c r="C58" s="7">
        <v>2</v>
      </c>
      <c r="D58" s="7" t="str">
        <f>IFERROR(INDEX(FishGroup!$B$4:$B$31,MATCH(B58,FishGroup!$A$4:$A$31,0)),"기타")</f>
        <v>기타</v>
      </c>
      <c r="E58" s="7" t="s">
        <v>67</v>
      </c>
      <c r="F58" s="7">
        <v>550</v>
      </c>
      <c r="G58" s="7" t="s">
        <v>483</v>
      </c>
      <c r="H58" s="7">
        <v>0</v>
      </c>
      <c r="I58" s="7">
        <v>100</v>
      </c>
      <c r="J58" s="7">
        <v>60</v>
      </c>
      <c r="K58" s="7">
        <v>500</v>
      </c>
      <c r="L58" s="7">
        <v>250</v>
      </c>
      <c r="M58" s="7" t="s">
        <v>180</v>
      </c>
      <c r="N58" s="7" t="s">
        <v>298</v>
      </c>
      <c r="O58" s="7" t="s">
        <v>403</v>
      </c>
    </row>
    <row r="59" spans="1:15" x14ac:dyDescent="0.25">
      <c r="A59" s="7">
        <v>56</v>
      </c>
      <c r="B59" s="7">
        <v>23</v>
      </c>
      <c r="C59" s="7">
        <v>2</v>
      </c>
      <c r="D59" s="7" t="str">
        <f>IFERROR(INDEX(FishGroup!$B$4:$B$31,MATCH(B59,FishGroup!$A$4:$A$31,0)),"기타")</f>
        <v>새치</v>
      </c>
      <c r="E59" s="7" t="s">
        <v>136</v>
      </c>
      <c r="F59" s="7">
        <v>560</v>
      </c>
      <c r="G59" s="7" t="s">
        <v>485</v>
      </c>
      <c r="H59" s="7">
        <v>0</v>
      </c>
      <c r="I59" s="7">
        <v>100</v>
      </c>
      <c r="J59" s="7">
        <v>45</v>
      </c>
      <c r="K59" s="7">
        <v>500</v>
      </c>
      <c r="L59" s="7">
        <v>300</v>
      </c>
      <c r="M59" s="7" t="s">
        <v>238</v>
      </c>
      <c r="N59" s="7" t="s">
        <v>356</v>
      </c>
      <c r="O59" s="7" t="s">
        <v>461</v>
      </c>
    </row>
    <row r="60" spans="1:15" x14ac:dyDescent="0.25">
      <c r="A60" s="7">
        <v>57</v>
      </c>
      <c r="B60" s="7">
        <v>10</v>
      </c>
      <c r="C60" s="7">
        <v>1</v>
      </c>
      <c r="D60" s="7" t="str">
        <f>IFERROR(INDEX(FishGroup!$B$4:$B$31,MATCH(B60,FishGroup!$A$4:$A$31,0)),"기타")</f>
        <v>해마</v>
      </c>
      <c r="E60" s="7" t="s">
        <v>82</v>
      </c>
      <c r="F60" s="7">
        <v>570</v>
      </c>
      <c r="G60" s="7" t="s">
        <v>486</v>
      </c>
      <c r="H60" s="7">
        <v>0</v>
      </c>
      <c r="I60" s="7">
        <v>100</v>
      </c>
      <c r="J60" s="7">
        <v>65</v>
      </c>
      <c r="K60" s="7">
        <v>500</v>
      </c>
      <c r="L60" s="7">
        <v>250</v>
      </c>
      <c r="M60" s="7" t="s">
        <v>193</v>
      </c>
      <c r="N60" s="7" t="s">
        <v>311</v>
      </c>
      <c r="O60" s="7" t="s">
        <v>416</v>
      </c>
    </row>
    <row r="61" spans="1:15" x14ac:dyDescent="0.25">
      <c r="A61" s="7">
        <v>58</v>
      </c>
      <c r="B61" s="7">
        <v>10</v>
      </c>
      <c r="C61" s="7">
        <v>1</v>
      </c>
      <c r="D61" s="7" t="str">
        <f>IFERROR(INDEX(FishGroup!$B$4:$B$31,MATCH(B61,FishGroup!$A$4:$A$31,0)),"기타")</f>
        <v>해마</v>
      </c>
      <c r="E61" s="7" t="s">
        <v>83</v>
      </c>
      <c r="F61" s="7">
        <v>580</v>
      </c>
      <c r="G61" s="7" t="s">
        <v>486</v>
      </c>
      <c r="H61" s="7">
        <v>0</v>
      </c>
      <c r="I61" s="7">
        <v>100</v>
      </c>
      <c r="J61" s="7">
        <v>80</v>
      </c>
      <c r="K61" s="7">
        <v>500</v>
      </c>
      <c r="L61" s="7">
        <v>250</v>
      </c>
      <c r="M61" s="7" t="s">
        <v>194</v>
      </c>
      <c r="N61" s="7" t="s">
        <v>312</v>
      </c>
      <c r="O61" s="7" t="s">
        <v>417</v>
      </c>
    </row>
    <row r="62" spans="1:15" x14ac:dyDescent="0.25">
      <c r="A62" s="7">
        <v>59</v>
      </c>
      <c r="B62" s="7">
        <v>10</v>
      </c>
      <c r="C62" s="7">
        <v>1</v>
      </c>
      <c r="D62" s="7" t="str">
        <f>IFERROR(INDEX(FishGroup!$B$4:$B$31,MATCH(B62,FishGroup!$A$4:$A$31,0)),"기타")</f>
        <v>해마</v>
      </c>
      <c r="E62" s="7" t="s">
        <v>84</v>
      </c>
      <c r="F62" s="7">
        <v>590</v>
      </c>
      <c r="G62" s="7" t="s">
        <v>486</v>
      </c>
      <c r="H62" s="7">
        <v>0</v>
      </c>
      <c r="I62" s="7">
        <v>100</v>
      </c>
      <c r="J62" s="7">
        <v>80</v>
      </c>
      <c r="K62" s="7">
        <v>500</v>
      </c>
      <c r="L62" s="7">
        <v>250</v>
      </c>
      <c r="M62" s="7" t="s">
        <v>195</v>
      </c>
      <c r="N62" s="7" t="s">
        <v>313</v>
      </c>
      <c r="O62" s="7" t="s">
        <v>418</v>
      </c>
    </row>
    <row r="63" spans="1:15" x14ac:dyDescent="0.25">
      <c r="A63" s="7">
        <v>60</v>
      </c>
      <c r="B63" s="7">
        <v>10</v>
      </c>
      <c r="C63" s="7">
        <v>2</v>
      </c>
      <c r="D63" s="7" t="str">
        <f>IFERROR(INDEX(FishGroup!$B$4:$B$31,MATCH(B63,FishGroup!$A$4:$A$31,0)),"기타")</f>
        <v>해마</v>
      </c>
      <c r="E63" s="7" t="s">
        <v>85</v>
      </c>
      <c r="F63" s="7">
        <v>600</v>
      </c>
      <c r="G63" s="7" t="s">
        <v>486</v>
      </c>
      <c r="H63" s="7">
        <v>0</v>
      </c>
      <c r="I63" s="7">
        <v>100</v>
      </c>
      <c r="J63" s="7">
        <v>70</v>
      </c>
      <c r="K63" s="7">
        <v>500</v>
      </c>
      <c r="L63" s="7">
        <v>250</v>
      </c>
      <c r="M63" s="7" t="s">
        <v>196</v>
      </c>
      <c r="N63" s="7" t="s">
        <v>314</v>
      </c>
      <c r="O63" s="7" t="s">
        <v>419</v>
      </c>
    </row>
    <row r="64" spans="1:15" x14ac:dyDescent="0.25">
      <c r="A64" s="7">
        <v>61</v>
      </c>
      <c r="B64" s="7">
        <v>10</v>
      </c>
      <c r="C64" s="7">
        <v>2</v>
      </c>
      <c r="D64" s="7" t="str">
        <f>IFERROR(INDEX(FishGroup!$B$4:$B$31,MATCH(B64,FishGroup!$A$4:$A$31,0)),"기타")</f>
        <v>해마</v>
      </c>
      <c r="E64" s="7" t="s">
        <v>86</v>
      </c>
      <c r="F64" s="7">
        <v>610</v>
      </c>
      <c r="G64" s="7" t="s">
        <v>486</v>
      </c>
      <c r="H64" s="7">
        <v>0</v>
      </c>
      <c r="I64" s="7">
        <v>100</v>
      </c>
      <c r="J64" s="7">
        <v>80</v>
      </c>
      <c r="K64" s="7">
        <v>500</v>
      </c>
      <c r="L64" s="7">
        <v>250</v>
      </c>
      <c r="M64" s="7" t="s">
        <v>197</v>
      </c>
      <c r="N64" s="7" t="s">
        <v>315</v>
      </c>
      <c r="O64" s="7" t="s">
        <v>420</v>
      </c>
    </row>
    <row r="65" spans="1:15" x14ac:dyDescent="0.25">
      <c r="A65" s="7">
        <v>62</v>
      </c>
      <c r="B65" s="7">
        <v>19</v>
      </c>
      <c r="C65" s="7">
        <v>2</v>
      </c>
      <c r="D65" s="7" t="str">
        <f>IFERROR(INDEX(FishGroup!$B$4:$B$31,MATCH(B65,FishGroup!$A$4:$A$31,0)),"기타")</f>
        <v>해룡</v>
      </c>
      <c r="E65" s="7" t="s">
        <v>111</v>
      </c>
      <c r="F65" s="7">
        <v>620</v>
      </c>
      <c r="G65" s="7" t="s">
        <v>486</v>
      </c>
      <c r="H65" s="7">
        <v>0</v>
      </c>
      <c r="I65" s="7">
        <v>100</v>
      </c>
      <c r="J65" s="7">
        <v>60</v>
      </c>
      <c r="K65" s="7">
        <v>500</v>
      </c>
      <c r="L65" s="7">
        <v>250</v>
      </c>
      <c r="M65" s="7" t="s">
        <v>217</v>
      </c>
      <c r="N65" s="7" t="s">
        <v>335</v>
      </c>
      <c r="O65" s="7" t="s">
        <v>440</v>
      </c>
    </row>
    <row r="66" spans="1:15" x14ac:dyDescent="0.25">
      <c r="A66" s="7">
        <v>63</v>
      </c>
      <c r="B66" s="7">
        <v>19</v>
      </c>
      <c r="C66" s="7">
        <v>2</v>
      </c>
      <c r="D66" s="7" t="str">
        <f>IFERROR(INDEX(FishGroup!$B$4:$B$31,MATCH(B66,FishGroup!$A$4:$A$31,0)),"기타")</f>
        <v>해룡</v>
      </c>
      <c r="E66" s="7" t="s">
        <v>112</v>
      </c>
      <c r="F66" s="7">
        <v>630</v>
      </c>
      <c r="G66" s="7" t="s">
        <v>486</v>
      </c>
      <c r="H66" s="7">
        <v>0</v>
      </c>
      <c r="I66" s="7">
        <v>100</v>
      </c>
      <c r="J66" s="7">
        <v>60</v>
      </c>
      <c r="K66" s="7">
        <v>500</v>
      </c>
      <c r="L66" s="7">
        <v>250</v>
      </c>
      <c r="M66" s="7" t="s">
        <v>218</v>
      </c>
      <c r="N66" s="7" t="s">
        <v>336</v>
      </c>
      <c r="O66" s="7" t="s">
        <v>441</v>
      </c>
    </row>
    <row r="67" spans="1:15" x14ac:dyDescent="0.25">
      <c r="A67" s="7">
        <v>64</v>
      </c>
      <c r="B67" s="7">
        <v>19</v>
      </c>
      <c r="C67" s="7">
        <v>2</v>
      </c>
      <c r="D67" s="7" t="str">
        <f>IFERROR(INDEX(FishGroup!$B$4:$B$31,MATCH(B67,FishGroup!$A$4:$A$31,0)),"기타")</f>
        <v>해룡</v>
      </c>
      <c r="E67" s="7" t="s">
        <v>113</v>
      </c>
      <c r="F67" s="7">
        <v>640</v>
      </c>
      <c r="G67" s="7" t="s">
        <v>486</v>
      </c>
      <c r="H67" s="7">
        <v>0</v>
      </c>
      <c r="I67" s="7">
        <v>100</v>
      </c>
      <c r="J67" s="7">
        <v>60</v>
      </c>
      <c r="K67" s="7">
        <v>500</v>
      </c>
      <c r="L67" s="7">
        <v>250</v>
      </c>
      <c r="M67" s="7" t="s">
        <v>219</v>
      </c>
      <c r="N67" s="7" t="s">
        <v>337</v>
      </c>
      <c r="O67" s="7" t="s">
        <v>442</v>
      </c>
    </row>
    <row r="68" spans="1:15" x14ac:dyDescent="0.25">
      <c r="A68" s="7">
        <v>65</v>
      </c>
      <c r="B68" s="7">
        <v>19</v>
      </c>
      <c r="C68" s="7">
        <v>2</v>
      </c>
      <c r="D68" s="7" t="str">
        <f>IFERROR(INDEX(FishGroup!$B$4:$B$31,MATCH(B68,FishGroup!$A$4:$A$31,0)),"기타")</f>
        <v>해룡</v>
      </c>
      <c r="E68" s="7" t="s">
        <v>114</v>
      </c>
      <c r="F68" s="7">
        <v>650</v>
      </c>
      <c r="G68" s="7" t="s">
        <v>486</v>
      </c>
      <c r="H68" s="7">
        <v>0</v>
      </c>
      <c r="I68" s="7">
        <v>100</v>
      </c>
      <c r="J68" s="7">
        <v>60</v>
      </c>
      <c r="K68" s="7">
        <v>500</v>
      </c>
      <c r="L68" s="7">
        <v>250</v>
      </c>
      <c r="M68" s="7" t="s">
        <v>220</v>
      </c>
      <c r="N68" s="7" t="s">
        <v>338</v>
      </c>
      <c r="O68" s="7" t="s">
        <v>443</v>
      </c>
    </row>
    <row r="69" spans="1:15" x14ac:dyDescent="0.25">
      <c r="A69" s="7">
        <v>66</v>
      </c>
      <c r="B69" s="7">
        <v>19</v>
      </c>
      <c r="C69" s="7">
        <v>2</v>
      </c>
      <c r="D69" s="7" t="str">
        <f>IFERROR(INDEX(FishGroup!$B$4:$B$31,MATCH(B69,FishGroup!$A$4:$A$31,0)),"기타")</f>
        <v>해룡</v>
      </c>
      <c r="E69" s="7" t="s">
        <v>115</v>
      </c>
      <c r="F69" s="7">
        <v>660</v>
      </c>
      <c r="G69" s="7" t="s">
        <v>486</v>
      </c>
      <c r="H69" s="7">
        <v>0</v>
      </c>
      <c r="I69" s="7">
        <v>100</v>
      </c>
      <c r="J69" s="7">
        <v>40</v>
      </c>
      <c r="K69" s="7">
        <v>500</v>
      </c>
      <c r="L69" s="7">
        <v>250</v>
      </c>
      <c r="M69" s="7" t="s">
        <v>221</v>
      </c>
      <c r="N69" s="7" t="s">
        <v>339</v>
      </c>
      <c r="O69" s="7" t="s">
        <v>444</v>
      </c>
    </row>
    <row r="70" spans="1:15" x14ac:dyDescent="0.25">
      <c r="A70" s="7">
        <v>67</v>
      </c>
      <c r="B70" s="7">
        <v>18</v>
      </c>
      <c r="C70" s="7">
        <v>1</v>
      </c>
      <c r="D70" s="7" t="str">
        <f>IFERROR(INDEX(FishGroup!$B$4:$B$31,MATCH(B70,FishGroup!$A$4:$A$31,0)),"기타")</f>
        <v>연체동물</v>
      </c>
      <c r="E70" s="7" t="s">
        <v>127</v>
      </c>
      <c r="F70" s="7">
        <v>670</v>
      </c>
      <c r="G70" s="7" t="s">
        <v>492</v>
      </c>
      <c r="H70" s="7">
        <v>0</v>
      </c>
      <c r="I70" s="7">
        <v>100</v>
      </c>
      <c r="J70" s="7">
        <v>14</v>
      </c>
      <c r="K70" s="7">
        <v>500</v>
      </c>
      <c r="L70" s="7">
        <v>300</v>
      </c>
      <c r="M70" s="7" t="s">
        <v>231</v>
      </c>
      <c r="N70" s="7" t="s">
        <v>349</v>
      </c>
      <c r="O70" s="7" t="s">
        <v>454</v>
      </c>
    </row>
    <row r="71" spans="1:15" x14ac:dyDescent="0.25">
      <c r="A71" s="7">
        <v>68</v>
      </c>
      <c r="B71" s="7">
        <v>18</v>
      </c>
      <c r="C71" s="7">
        <v>2</v>
      </c>
      <c r="D71" s="7" t="str">
        <f>IFERROR(INDEX(FishGroup!$B$4:$B$31,MATCH(B71,FishGroup!$A$4:$A$31,0)),"기타")</f>
        <v>연체동물</v>
      </c>
      <c r="E71" s="7" t="s">
        <v>128</v>
      </c>
      <c r="F71" s="7">
        <v>680</v>
      </c>
      <c r="G71" s="7" t="s">
        <v>492</v>
      </c>
      <c r="H71" s="7">
        <v>0</v>
      </c>
      <c r="I71" s="7">
        <v>100</v>
      </c>
      <c r="J71" s="7">
        <v>10</v>
      </c>
      <c r="K71" s="7">
        <v>500</v>
      </c>
      <c r="L71" s="7">
        <v>300</v>
      </c>
      <c r="M71" s="7" t="s">
        <v>232</v>
      </c>
      <c r="N71" s="7" t="s">
        <v>350</v>
      </c>
      <c r="O71" s="7" t="s">
        <v>455</v>
      </c>
    </row>
    <row r="72" spans="1:15" x14ac:dyDescent="0.25">
      <c r="A72" s="7">
        <v>69</v>
      </c>
      <c r="B72" s="7">
        <v>18</v>
      </c>
      <c r="C72" s="7">
        <v>2</v>
      </c>
      <c r="D72" s="7" t="str">
        <f>IFERROR(INDEX(FishGroup!$B$4:$B$31,MATCH(B72,FishGroup!$A$4:$A$31,0)),"기타")</f>
        <v>연체동물</v>
      </c>
      <c r="E72" s="7" t="s">
        <v>116</v>
      </c>
      <c r="F72" s="7">
        <v>690</v>
      </c>
      <c r="G72" s="7" t="s">
        <v>483</v>
      </c>
      <c r="H72" s="7">
        <v>0</v>
      </c>
      <c r="I72" s="7">
        <v>100</v>
      </c>
      <c r="J72" s="7">
        <v>42</v>
      </c>
      <c r="K72" s="7">
        <v>600</v>
      </c>
      <c r="L72" s="7">
        <v>400</v>
      </c>
      <c r="M72" s="7" t="s">
        <v>222</v>
      </c>
      <c r="N72" s="7" t="s">
        <v>340</v>
      </c>
      <c r="O72" s="7" t="s">
        <v>445</v>
      </c>
    </row>
    <row r="73" spans="1:15" x14ac:dyDescent="0.25">
      <c r="A73" s="7">
        <v>70</v>
      </c>
      <c r="B73" s="7">
        <v>18</v>
      </c>
      <c r="C73" s="7">
        <v>2</v>
      </c>
      <c r="D73" s="7" t="str">
        <f>IFERROR(INDEX(FishGroup!$B$4:$B$31,MATCH(B73,FishGroup!$A$4:$A$31,0)),"기타")</f>
        <v>연체동물</v>
      </c>
      <c r="E73" s="7" t="s">
        <v>117</v>
      </c>
      <c r="F73" s="7">
        <v>700</v>
      </c>
      <c r="G73" s="7" t="s">
        <v>480</v>
      </c>
      <c r="H73" s="7">
        <v>0</v>
      </c>
      <c r="I73" s="7">
        <v>100</v>
      </c>
      <c r="J73" s="7">
        <v>57</v>
      </c>
      <c r="K73" s="7">
        <v>500</v>
      </c>
      <c r="L73" s="7">
        <v>250</v>
      </c>
      <c r="M73" s="7" t="s">
        <v>223</v>
      </c>
      <c r="N73" s="7" t="s">
        <v>341</v>
      </c>
      <c r="O73" s="7" t="s">
        <v>446</v>
      </c>
    </row>
    <row r="74" spans="1:15" x14ac:dyDescent="0.25">
      <c r="A74" s="7">
        <v>71</v>
      </c>
      <c r="B74" s="7">
        <v>18</v>
      </c>
      <c r="C74" s="7">
        <v>2</v>
      </c>
      <c r="D74" s="7" t="str">
        <f>IFERROR(INDEX(FishGroup!$B$4:$B$31,MATCH(B74,FishGroup!$A$4:$A$31,0)),"기타")</f>
        <v>연체동물</v>
      </c>
      <c r="E74" s="7" t="s">
        <v>118</v>
      </c>
      <c r="F74" s="7">
        <v>710</v>
      </c>
      <c r="G74" s="7" t="s">
        <v>481</v>
      </c>
      <c r="H74" s="7">
        <v>0</v>
      </c>
      <c r="I74" s="7">
        <v>100</v>
      </c>
      <c r="J74" s="7">
        <v>70</v>
      </c>
      <c r="K74" s="7">
        <v>500</v>
      </c>
      <c r="L74" s="7">
        <v>250</v>
      </c>
      <c r="M74" s="7" t="s">
        <v>224</v>
      </c>
      <c r="N74" s="7" t="s">
        <v>342</v>
      </c>
      <c r="O74" s="7" t="s">
        <v>447</v>
      </c>
    </row>
    <row r="75" spans="1:15" x14ac:dyDescent="0.25">
      <c r="A75" s="7">
        <v>72</v>
      </c>
      <c r="B75" s="7">
        <v>18</v>
      </c>
      <c r="C75" s="7">
        <v>2</v>
      </c>
      <c r="D75" s="7" t="str">
        <f>IFERROR(INDEX(FishGroup!$B$4:$B$31,MATCH(B75,FishGroup!$A$4:$A$31,0)),"기타")</f>
        <v>연체동물</v>
      </c>
      <c r="E75" s="7" t="s">
        <v>108</v>
      </c>
      <c r="F75" s="7">
        <v>720</v>
      </c>
      <c r="G75" s="7" t="s">
        <v>483</v>
      </c>
      <c r="H75" s="7">
        <v>0</v>
      </c>
      <c r="I75" s="7">
        <v>100</v>
      </c>
      <c r="J75" s="7">
        <v>70</v>
      </c>
      <c r="K75" s="7">
        <v>500</v>
      </c>
      <c r="L75" s="7">
        <v>250</v>
      </c>
      <c r="M75" s="7" t="s">
        <v>215</v>
      </c>
      <c r="N75" s="7" t="s">
        <v>333</v>
      </c>
      <c r="O75" s="7" t="s">
        <v>438</v>
      </c>
    </row>
    <row r="76" spans="1:15" x14ac:dyDescent="0.25">
      <c r="A76" s="7">
        <v>73</v>
      </c>
      <c r="B76" s="7">
        <v>18</v>
      </c>
      <c r="C76" s="7">
        <v>2</v>
      </c>
      <c r="D76" s="7" t="str">
        <f>IFERROR(INDEX(FishGroup!$B$4:$B$31,MATCH(B76,FishGroup!$A$4:$A$31,0)),"기타")</f>
        <v>연체동물</v>
      </c>
      <c r="E76" s="7" t="s">
        <v>107</v>
      </c>
      <c r="F76" s="7">
        <v>730</v>
      </c>
      <c r="G76" s="7" t="s">
        <v>487</v>
      </c>
      <c r="H76" s="7">
        <v>0</v>
      </c>
      <c r="I76" s="7">
        <v>100</v>
      </c>
      <c r="J76" s="7">
        <v>30</v>
      </c>
      <c r="K76" s="7">
        <v>600</v>
      </c>
      <c r="L76" s="7">
        <v>400</v>
      </c>
      <c r="M76" s="7" t="s">
        <v>214</v>
      </c>
      <c r="N76" s="7" t="s">
        <v>332</v>
      </c>
      <c r="O76" s="7" t="s">
        <v>437</v>
      </c>
    </row>
    <row r="77" spans="1:15" x14ac:dyDescent="0.25">
      <c r="A77" s="7">
        <v>74</v>
      </c>
      <c r="B77" s="7">
        <v>18</v>
      </c>
      <c r="C77" s="7">
        <v>2</v>
      </c>
      <c r="D77" s="7" t="str">
        <f>IFERROR(INDEX(FishGroup!$B$4:$B$31,MATCH(B77,FishGroup!$A$4:$A$31,0)),"기타")</f>
        <v>연체동물</v>
      </c>
      <c r="E77" s="7" t="s">
        <v>109</v>
      </c>
      <c r="F77" s="7">
        <v>740</v>
      </c>
      <c r="G77" s="7" t="s">
        <v>487</v>
      </c>
      <c r="H77" s="7">
        <v>0</v>
      </c>
      <c r="I77" s="7">
        <v>100</v>
      </c>
      <c r="J77" s="7">
        <v>27</v>
      </c>
      <c r="K77" s="7">
        <v>600</v>
      </c>
      <c r="L77" s="7">
        <v>400</v>
      </c>
      <c r="M77" s="7" t="s">
        <v>216</v>
      </c>
      <c r="N77" s="7" t="s">
        <v>334</v>
      </c>
      <c r="O77" s="7" t="s">
        <v>439</v>
      </c>
    </row>
    <row r="78" spans="1:15" x14ac:dyDescent="0.25">
      <c r="A78" s="7">
        <v>75</v>
      </c>
      <c r="B78" s="7">
        <v>999</v>
      </c>
      <c r="C78" s="7">
        <v>2</v>
      </c>
      <c r="D78" s="7" t="str">
        <f>IFERROR(INDEX(FishGroup!$B$4:$B$31,MATCH(B78,FishGroup!$A$4:$A$31,0)),"기타")</f>
        <v>기타</v>
      </c>
      <c r="E78" s="7" t="s">
        <v>518</v>
      </c>
      <c r="F78" s="7">
        <v>750</v>
      </c>
      <c r="G78" s="7" t="s">
        <v>484</v>
      </c>
      <c r="H78" s="7">
        <v>0</v>
      </c>
      <c r="I78" s="7">
        <v>100</v>
      </c>
      <c r="J78" s="7">
        <v>65</v>
      </c>
      <c r="K78" s="7">
        <v>500</v>
      </c>
      <c r="L78" s="7">
        <v>250</v>
      </c>
      <c r="M78" s="7" t="s">
        <v>507</v>
      </c>
      <c r="N78" s="19" t="s">
        <v>525</v>
      </c>
      <c r="O78" s="7" t="s">
        <v>533</v>
      </c>
    </row>
    <row r="79" spans="1:15" x14ac:dyDescent="0.25">
      <c r="A79" s="7">
        <v>76</v>
      </c>
      <c r="B79" s="7">
        <v>999</v>
      </c>
      <c r="C79" s="7">
        <v>2</v>
      </c>
      <c r="D79" s="7" t="str">
        <f>IFERROR(INDEX(FishGroup!$B$4:$B$31,MATCH(B79,FishGroup!$A$4:$A$31,0)),"기타")</f>
        <v>기타</v>
      </c>
      <c r="E79" s="7" t="s">
        <v>519</v>
      </c>
      <c r="F79" s="7">
        <v>760</v>
      </c>
      <c r="G79" s="7" t="s">
        <v>486</v>
      </c>
      <c r="H79" s="7">
        <v>0</v>
      </c>
      <c r="I79" s="7">
        <v>100</v>
      </c>
      <c r="J79" s="7">
        <v>60</v>
      </c>
      <c r="K79" s="7">
        <v>500</v>
      </c>
      <c r="L79" s="7">
        <v>250</v>
      </c>
      <c r="M79" s="7" t="s">
        <v>508</v>
      </c>
      <c r="N79" s="19" t="s">
        <v>526</v>
      </c>
      <c r="O79" s="7" t="s">
        <v>534</v>
      </c>
    </row>
    <row r="80" spans="1:15" x14ac:dyDescent="0.25">
      <c r="A80" s="7">
        <v>77</v>
      </c>
      <c r="B80" s="7">
        <v>999</v>
      </c>
      <c r="C80" s="7">
        <v>2</v>
      </c>
      <c r="D80" s="7" t="str">
        <f>IFERROR(INDEX(FishGroup!$B$4:$B$31,MATCH(B80,FishGroup!$A$4:$A$31,0)),"기타")</f>
        <v>기타</v>
      </c>
      <c r="E80" s="7" t="s">
        <v>95</v>
      </c>
      <c r="F80" s="7">
        <v>770</v>
      </c>
      <c r="G80" s="7" t="s">
        <v>484</v>
      </c>
      <c r="H80" s="7">
        <v>0</v>
      </c>
      <c r="I80" s="7">
        <v>100</v>
      </c>
      <c r="J80" s="7">
        <v>67</v>
      </c>
      <c r="K80" s="7">
        <v>500</v>
      </c>
      <c r="L80" s="7">
        <v>250</v>
      </c>
      <c r="M80" s="7" t="s">
        <v>204</v>
      </c>
      <c r="N80" s="7" t="s">
        <v>322</v>
      </c>
      <c r="O80" s="7" t="s">
        <v>427</v>
      </c>
    </row>
    <row r="81" spans="1:15" x14ac:dyDescent="0.25">
      <c r="A81" s="7">
        <v>78</v>
      </c>
      <c r="B81" s="7">
        <v>999</v>
      </c>
      <c r="C81" s="7">
        <v>2</v>
      </c>
      <c r="D81" s="7" t="str">
        <f>IFERROR(INDEX(FishGroup!$B$4:$B$31,MATCH(B81,FishGroup!$A$4:$A$31,0)),"기타")</f>
        <v>기타</v>
      </c>
      <c r="E81" s="7" t="s">
        <v>72</v>
      </c>
      <c r="F81" s="7">
        <v>780</v>
      </c>
      <c r="G81" s="7" t="s">
        <v>481</v>
      </c>
      <c r="H81" s="7">
        <v>0</v>
      </c>
      <c r="I81" s="7">
        <v>100</v>
      </c>
      <c r="J81" s="7">
        <v>57</v>
      </c>
      <c r="K81" s="7">
        <v>500</v>
      </c>
      <c r="L81" s="7">
        <v>250</v>
      </c>
      <c r="M81" s="7" t="s">
        <v>185</v>
      </c>
      <c r="N81" s="7" t="s">
        <v>303</v>
      </c>
      <c r="O81" s="7" t="s">
        <v>408</v>
      </c>
    </row>
    <row r="82" spans="1:15" x14ac:dyDescent="0.25">
      <c r="A82" s="7">
        <v>79</v>
      </c>
      <c r="B82" s="7">
        <v>999</v>
      </c>
      <c r="C82" s="7">
        <v>2</v>
      </c>
      <c r="D82" s="7" t="str">
        <f>IFERROR(INDEX(FishGroup!$B$4:$B$31,MATCH(B82,FishGroup!$A$4:$A$31,0)),"기타")</f>
        <v>기타</v>
      </c>
      <c r="E82" s="7" t="s">
        <v>91</v>
      </c>
      <c r="F82" s="7">
        <v>790</v>
      </c>
      <c r="G82" s="7" t="s">
        <v>483</v>
      </c>
      <c r="H82" s="7">
        <v>0</v>
      </c>
      <c r="I82" s="7">
        <v>100</v>
      </c>
      <c r="J82" s="7">
        <v>57</v>
      </c>
      <c r="K82" s="7">
        <v>500</v>
      </c>
      <c r="L82" s="7">
        <v>250</v>
      </c>
      <c r="M82" s="7" t="s">
        <v>201</v>
      </c>
      <c r="N82" s="7" t="s">
        <v>319</v>
      </c>
      <c r="O82" s="7" t="s">
        <v>424</v>
      </c>
    </row>
    <row r="83" spans="1:15" x14ac:dyDescent="0.25">
      <c r="A83" s="7">
        <v>80</v>
      </c>
      <c r="B83" s="7">
        <v>15</v>
      </c>
      <c r="C83" s="7">
        <v>2</v>
      </c>
      <c r="D83" s="7" t="str">
        <f>IFERROR(INDEX(FishGroup!$B$4:$B$31,MATCH(B83,FishGroup!$A$4:$A$31,0)),"기타")</f>
        <v>상어</v>
      </c>
      <c r="E83" s="7" t="s">
        <v>145</v>
      </c>
      <c r="F83" s="7">
        <v>800</v>
      </c>
      <c r="G83" s="7" t="s">
        <v>493</v>
      </c>
      <c r="H83" s="7">
        <v>0</v>
      </c>
      <c r="I83" s="7">
        <v>100</v>
      </c>
      <c r="J83" s="7">
        <v>22</v>
      </c>
      <c r="K83" s="7">
        <v>700</v>
      </c>
      <c r="L83" s="7">
        <v>500</v>
      </c>
      <c r="M83" s="7" t="s">
        <v>246</v>
      </c>
      <c r="N83" s="7" t="s">
        <v>365</v>
      </c>
      <c r="O83" s="7" t="s">
        <v>470</v>
      </c>
    </row>
    <row r="84" spans="1:15" x14ac:dyDescent="0.25">
      <c r="A84" s="7">
        <v>81</v>
      </c>
      <c r="B84" s="7">
        <v>999</v>
      </c>
      <c r="C84" s="7">
        <v>2</v>
      </c>
      <c r="D84" s="7" t="str">
        <f>IFERROR(INDEX(FishGroup!$B$4:$B$31,MATCH(B84,FishGroup!$A$4:$A$31,0)),"기타")</f>
        <v>기타</v>
      </c>
      <c r="E84" s="7" t="s">
        <v>521</v>
      </c>
      <c r="F84" s="7">
        <v>810</v>
      </c>
      <c r="G84" s="7" t="s">
        <v>487</v>
      </c>
      <c r="H84" s="7">
        <v>0</v>
      </c>
      <c r="I84" s="7">
        <v>100</v>
      </c>
      <c r="J84" s="7">
        <v>37</v>
      </c>
      <c r="K84" s="7">
        <v>600</v>
      </c>
      <c r="L84" s="7">
        <v>400</v>
      </c>
      <c r="M84" s="7" t="s">
        <v>511</v>
      </c>
      <c r="N84" s="19" t="s">
        <v>527</v>
      </c>
      <c r="O84" s="7" t="s">
        <v>535</v>
      </c>
    </row>
    <row r="85" spans="1:15" x14ac:dyDescent="0.25">
      <c r="A85" s="7">
        <v>82</v>
      </c>
      <c r="B85" s="7">
        <v>999</v>
      </c>
      <c r="C85" s="7">
        <v>2</v>
      </c>
      <c r="D85" s="7" t="str">
        <f>IFERROR(INDEX(FishGroup!$B$4:$B$31,MATCH(B85,FishGroup!$A$4:$A$31,0)),"기타")</f>
        <v>기타</v>
      </c>
      <c r="E85" s="7" t="s">
        <v>96</v>
      </c>
      <c r="F85" s="7">
        <v>820</v>
      </c>
      <c r="G85" s="7" t="s">
        <v>487</v>
      </c>
      <c r="H85" s="7">
        <v>0</v>
      </c>
      <c r="I85" s="7">
        <v>100</v>
      </c>
      <c r="J85" s="7">
        <v>20</v>
      </c>
      <c r="K85" s="7">
        <v>600</v>
      </c>
      <c r="L85" s="7">
        <v>400</v>
      </c>
      <c r="M85" s="7" t="s">
        <v>205</v>
      </c>
      <c r="N85" s="7" t="s">
        <v>323</v>
      </c>
      <c r="O85" s="7" t="s">
        <v>428</v>
      </c>
    </row>
    <row r="86" spans="1:15" x14ac:dyDescent="0.25">
      <c r="A86" s="7">
        <v>83</v>
      </c>
      <c r="B86" s="7">
        <v>12</v>
      </c>
      <c r="C86" s="7">
        <v>1</v>
      </c>
      <c r="D86" s="7" t="str">
        <f>IFERROR(INDEX(FishGroup!$B$4:$B$31,MATCH(B86,FishGroup!$A$4:$A$31,0)),"기타")</f>
        <v>바다거북</v>
      </c>
      <c r="E86" s="7" t="s">
        <v>98</v>
      </c>
      <c r="F86" s="7">
        <v>830</v>
      </c>
      <c r="G86" s="7" t="s">
        <v>488</v>
      </c>
      <c r="H86" s="7">
        <v>0</v>
      </c>
      <c r="I86" s="7">
        <v>100</v>
      </c>
      <c r="J86" s="7">
        <v>40</v>
      </c>
      <c r="K86" s="7">
        <v>500</v>
      </c>
      <c r="L86" s="7">
        <v>300</v>
      </c>
      <c r="M86" s="7" t="s">
        <v>206</v>
      </c>
      <c r="N86" s="7" t="s">
        <v>324</v>
      </c>
      <c r="O86" s="7" t="s">
        <v>429</v>
      </c>
    </row>
    <row r="87" spans="1:15" x14ac:dyDescent="0.25">
      <c r="A87" s="7">
        <v>84</v>
      </c>
      <c r="B87" s="7">
        <v>12</v>
      </c>
      <c r="C87" s="7">
        <v>1</v>
      </c>
      <c r="D87" s="7" t="str">
        <f>IFERROR(INDEX(FishGroup!$B$4:$B$31,MATCH(B87,FishGroup!$A$4:$A$31,0)),"기타")</f>
        <v>바다거북</v>
      </c>
      <c r="E87" s="7" t="s">
        <v>99</v>
      </c>
      <c r="F87" s="7">
        <v>840</v>
      </c>
      <c r="G87" s="7" t="s">
        <v>488</v>
      </c>
      <c r="H87" s="7">
        <v>0</v>
      </c>
      <c r="I87" s="7">
        <v>100</v>
      </c>
      <c r="J87" s="7">
        <v>40</v>
      </c>
      <c r="K87" s="7">
        <v>500</v>
      </c>
      <c r="L87" s="7">
        <v>300</v>
      </c>
      <c r="M87" s="7" t="s">
        <v>207</v>
      </c>
      <c r="N87" s="7" t="s">
        <v>325</v>
      </c>
      <c r="O87" s="7" t="s">
        <v>430</v>
      </c>
    </row>
    <row r="88" spans="1:15" x14ac:dyDescent="0.25">
      <c r="A88" s="7">
        <v>85</v>
      </c>
      <c r="B88" s="7">
        <v>12</v>
      </c>
      <c r="C88" s="7">
        <v>1</v>
      </c>
      <c r="D88" s="7" t="str">
        <f>IFERROR(INDEX(FishGroup!$B$4:$B$31,MATCH(B88,FishGroup!$A$4:$A$31,0)),"기타")</f>
        <v>바다거북</v>
      </c>
      <c r="E88" s="7" t="s">
        <v>103</v>
      </c>
      <c r="F88" s="7">
        <v>850</v>
      </c>
      <c r="G88" s="7" t="s">
        <v>488</v>
      </c>
      <c r="H88" s="7">
        <v>0</v>
      </c>
      <c r="I88" s="7">
        <v>100</v>
      </c>
      <c r="J88" s="7">
        <v>40</v>
      </c>
      <c r="K88" s="7">
        <v>500</v>
      </c>
      <c r="L88" s="7">
        <v>300</v>
      </c>
      <c r="M88" s="7" t="s">
        <v>211</v>
      </c>
      <c r="N88" s="7" t="s">
        <v>329</v>
      </c>
      <c r="O88" s="7" t="s">
        <v>434</v>
      </c>
    </row>
    <row r="89" spans="1:15" x14ac:dyDescent="0.25">
      <c r="A89" s="7">
        <v>86</v>
      </c>
      <c r="B89" s="7">
        <v>12</v>
      </c>
      <c r="C89" s="7">
        <v>1</v>
      </c>
      <c r="D89" s="7" t="str">
        <f>IFERROR(INDEX(FishGroup!$B$4:$B$31,MATCH(B89,FishGroup!$A$4:$A$31,0)),"기타")</f>
        <v>바다거북</v>
      </c>
      <c r="E89" s="7" t="s">
        <v>104</v>
      </c>
      <c r="F89" s="7">
        <v>860</v>
      </c>
      <c r="G89" s="7" t="s">
        <v>488</v>
      </c>
      <c r="H89" s="7">
        <v>0</v>
      </c>
      <c r="I89" s="7">
        <v>100</v>
      </c>
      <c r="J89" s="7">
        <v>40</v>
      </c>
      <c r="K89" s="7">
        <v>500</v>
      </c>
      <c r="L89" s="7">
        <v>300</v>
      </c>
      <c r="M89" s="7" t="s">
        <v>212</v>
      </c>
      <c r="N89" s="7" t="s">
        <v>330</v>
      </c>
      <c r="O89" s="7" t="s">
        <v>435</v>
      </c>
    </row>
    <row r="90" spans="1:15" ht="16.5" x14ac:dyDescent="0.25">
      <c r="A90" s="7">
        <v>87</v>
      </c>
      <c r="B90" s="7">
        <v>13</v>
      </c>
      <c r="C90" s="7">
        <v>2</v>
      </c>
      <c r="D90" s="7" t="str">
        <f>IFERROR(INDEX(FishGroup!$B$4:$B$31,MATCH(B90,FishGroup!$A$4:$A$31,0)),"기타")</f>
        <v>돌고래</v>
      </c>
      <c r="E90" s="27" t="s">
        <v>1053</v>
      </c>
      <c r="F90" s="7">
        <v>870</v>
      </c>
      <c r="G90" s="7" t="s">
        <v>490</v>
      </c>
      <c r="H90" s="7">
        <v>1</v>
      </c>
      <c r="I90" s="7">
        <v>45</v>
      </c>
      <c r="J90" s="7">
        <v>18</v>
      </c>
      <c r="K90" s="7">
        <v>500</v>
      </c>
      <c r="L90" s="7">
        <v>500</v>
      </c>
      <c r="M90" s="19" t="s">
        <v>1064</v>
      </c>
      <c r="N90" s="7" t="s">
        <v>1051</v>
      </c>
      <c r="O90" s="7" t="s">
        <v>1052</v>
      </c>
    </row>
    <row r="91" spans="1:15" x14ac:dyDescent="0.25">
      <c r="A91" s="7">
        <v>88</v>
      </c>
      <c r="B91" s="7">
        <v>13</v>
      </c>
      <c r="C91" s="7">
        <v>1</v>
      </c>
      <c r="D91" s="7" t="str">
        <f>IFERROR(INDEX(FishGroup!$B$4:$B$31,MATCH(B91,FishGroup!$A$4:$A$31,0)),"기타")</f>
        <v>돌고래</v>
      </c>
      <c r="E91" s="7" t="s">
        <v>120</v>
      </c>
      <c r="F91" s="7">
        <v>880</v>
      </c>
      <c r="G91" s="7" t="s">
        <v>490</v>
      </c>
      <c r="H91" s="7">
        <v>0</v>
      </c>
      <c r="I91" s="7">
        <v>100</v>
      </c>
      <c r="J91" s="7">
        <v>20</v>
      </c>
      <c r="K91" s="7">
        <v>600</v>
      </c>
      <c r="L91" s="7">
        <v>400</v>
      </c>
      <c r="M91" s="7" t="s">
        <v>225</v>
      </c>
      <c r="N91" s="7" t="s">
        <v>343</v>
      </c>
      <c r="O91" s="7" t="s">
        <v>448</v>
      </c>
    </row>
    <row r="92" spans="1:15" x14ac:dyDescent="0.25">
      <c r="A92" s="7">
        <v>89</v>
      </c>
      <c r="B92" s="7">
        <v>13</v>
      </c>
      <c r="C92" s="7">
        <v>2</v>
      </c>
      <c r="D92" s="7" t="str">
        <f>IFERROR(INDEX(FishGroup!$B$4:$B$31,MATCH(B92,FishGroup!$A$4:$A$31,0)),"기타")</f>
        <v>돌고래</v>
      </c>
      <c r="E92" s="7" t="s">
        <v>140</v>
      </c>
      <c r="F92" s="7">
        <v>890</v>
      </c>
      <c r="G92" s="7" t="s">
        <v>490</v>
      </c>
      <c r="H92" s="7">
        <v>0</v>
      </c>
      <c r="I92" s="7">
        <v>100</v>
      </c>
      <c r="J92" s="7">
        <v>20</v>
      </c>
      <c r="K92" s="7">
        <v>600</v>
      </c>
      <c r="L92" s="7">
        <v>400</v>
      </c>
      <c r="M92" s="7" t="s">
        <v>241</v>
      </c>
      <c r="N92" s="7" t="s">
        <v>360</v>
      </c>
      <c r="O92" s="7" t="s">
        <v>465</v>
      </c>
    </row>
    <row r="93" spans="1:15" x14ac:dyDescent="0.25">
      <c r="A93" s="7">
        <v>90</v>
      </c>
      <c r="B93" s="7">
        <v>13</v>
      </c>
      <c r="C93" s="7">
        <v>1</v>
      </c>
      <c r="D93" s="7" t="str">
        <f>IFERROR(INDEX(FishGroup!$B$4:$B$31,MATCH(B93,FishGroup!$A$4:$A$31,0)),"기타")</f>
        <v>돌고래</v>
      </c>
      <c r="E93" s="7" t="s">
        <v>139</v>
      </c>
      <c r="F93" s="7">
        <v>900</v>
      </c>
      <c r="G93" s="7" t="s">
        <v>490</v>
      </c>
      <c r="H93" s="7">
        <v>0</v>
      </c>
      <c r="I93" s="7">
        <v>100</v>
      </c>
      <c r="J93" s="7">
        <v>20</v>
      </c>
      <c r="K93" s="7">
        <v>600</v>
      </c>
      <c r="L93" s="7">
        <v>400</v>
      </c>
      <c r="M93" s="7" t="s">
        <v>509</v>
      </c>
      <c r="N93" s="7" t="s">
        <v>359</v>
      </c>
      <c r="O93" s="7" t="s">
        <v>464</v>
      </c>
    </row>
    <row r="94" spans="1:15" x14ac:dyDescent="0.25">
      <c r="A94" s="7">
        <v>91</v>
      </c>
      <c r="B94" s="7">
        <v>17</v>
      </c>
      <c r="C94" s="7">
        <v>2</v>
      </c>
      <c r="D94" s="7" t="str">
        <f>IFERROR(INDEX(FishGroup!$B$4:$B$31,MATCH(B94,FishGroup!$A$4:$A$31,0)),"기타")</f>
        <v>고래</v>
      </c>
      <c r="E94" s="7" t="s">
        <v>520</v>
      </c>
      <c r="F94" s="7">
        <v>910</v>
      </c>
      <c r="G94" s="7" t="s">
        <v>490</v>
      </c>
      <c r="H94" s="7">
        <v>0</v>
      </c>
      <c r="I94" s="7">
        <v>100</v>
      </c>
      <c r="J94" s="7">
        <v>12</v>
      </c>
      <c r="K94" s="7">
        <v>600</v>
      </c>
      <c r="L94" s="7">
        <v>400</v>
      </c>
      <c r="M94" s="7" t="s">
        <v>510</v>
      </c>
      <c r="N94" s="19" t="s">
        <v>536</v>
      </c>
      <c r="O94" s="19" t="s">
        <v>537</v>
      </c>
    </row>
    <row r="95" spans="1:15" x14ac:dyDescent="0.25">
      <c r="A95" s="7">
        <v>92</v>
      </c>
      <c r="B95" s="7">
        <v>13</v>
      </c>
      <c r="C95" s="7">
        <v>1</v>
      </c>
      <c r="D95" s="7" t="str">
        <f>IFERROR(INDEX(FishGroup!$B$4:$B$31,MATCH(B95,FishGroup!$A$4:$A$31,0)),"기타")</f>
        <v>돌고래</v>
      </c>
      <c r="E95" s="7" t="s">
        <v>141</v>
      </c>
      <c r="F95" s="7">
        <v>920</v>
      </c>
      <c r="G95" s="7" t="s">
        <v>490</v>
      </c>
      <c r="H95" s="7">
        <v>0</v>
      </c>
      <c r="I95" s="7">
        <v>100</v>
      </c>
      <c r="J95" s="7">
        <v>20</v>
      </c>
      <c r="K95" s="7">
        <v>600</v>
      </c>
      <c r="L95" s="7">
        <v>400</v>
      </c>
      <c r="M95" s="7" t="s">
        <v>242</v>
      </c>
      <c r="N95" s="7" t="s">
        <v>361</v>
      </c>
      <c r="O95" s="7" t="s">
        <v>466</v>
      </c>
    </row>
    <row r="96" spans="1:15" x14ac:dyDescent="0.25">
      <c r="A96" s="7">
        <v>93</v>
      </c>
      <c r="B96" s="7">
        <v>13</v>
      </c>
      <c r="C96" s="7">
        <v>1</v>
      </c>
      <c r="D96" s="7" t="str">
        <f>IFERROR(INDEX(FishGroup!$B$4:$B$31,MATCH(B96,FishGroup!$A$4:$A$31,0)),"기타")</f>
        <v>돌고래</v>
      </c>
      <c r="E96" s="7" t="s">
        <v>148</v>
      </c>
      <c r="F96" s="7">
        <v>930</v>
      </c>
      <c r="G96" s="7" t="s">
        <v>490</v>
      </c>
      <c r="H96" s="7">
        <v>0</v>
      </c>
      <c r="I96" s="7">
        <v>100</v>
      </c>
      <c r="J96" s="7">
        <v>20</v>
      </c>
      <c r="K96" s="7">
        <v>600</v>
      </c>
      <c r="L96" s="7">
        <v>400</v>
      </c>
      <c r="M96" s="7" t="s">
        <v>249</v>
      </c>
      <c r="N96" s="7" t="s">
        <v>368</v>
      </c>
      <c r="O96" s="7" t="s">
        <v>473</v>
      </c>
    </row>
    <row r="97" spans="1:15" x14ac:dyDescent="0.25">
      <c r="A97" s="7">
        <v>94</v>
      </c>
      <c r="B97" s="7">
        <v>14</v>
      </c>
      <c r="C97" s="7">
        <v>1</v>
      </c>
      <c r="D97" s="7" t="str">
        <f>IFERROR(INDEX(FishGroup!$B$4:$B$31,MATCH(B97,FishGroup!$A$4:$A$31,0)),"기타")</f>
        <v>가오리</v>
      </c>
      <c r="E97" s="7" t="s">
        <v>131</v>
      </c>
      <c r="F97" s="7">
        <v>940</v>
      </c>
      <c r="G97" s="7" t="s">
        <v>487</v>
      </c>
      <c r="H97" s="7">
        <v>0</v>
      </c>
      <c r="I97" s="7">
        <v>100</v>
      </c>
      <c r="J97" s="7">
        <v>50</v>
      </c>
      <c r="K97" s="7">
        <v>500</v>
      </c>
      <c r="L97" s="7">
        <v>300</v>
      </c>
      <c r="M97" s="7" t="s">
        <v>234</v>
      </c>
      <c r="N97" s="7" t="s">
        <v>352</v>
      </c>
      <c r="O97" s="7" t="s">
        <v>457</v>
      </c>
    </row>
    <row r="98" spans="1:15" x14ac:dyDescent="0.25">
      <c r="A98" s="7">
        <v>95</v>
      </c>
      <c r="B98" s="7">
        <v>14</v>
      </c>
      <c r="C98" s="7">
        <v>2</v>
      </c>
      <c r="D98" s="7" t="str">
        <f>IFERROR(INDEX(FishGroup!$B$4:$B$31,MATCH(B98,FishGroup!$A$4:$A$31,0)),"기타")</f>
        <v>가오리</v>
      </c>
      <c r="E98" s="7" t="s">
        <v>132</v>
      </c>
      <c r="F98" s="7">
        <v>950</v>
      </c>
      <c r="G98" s="7" t="s">
        <v>487</v>
      </c>
      <c r="H98" s="7">
        <v>0</v>
      </c>
      <c r="I98" s="7">
        <v>100</v>
      </c>
      <c r="J98" s="7">
        <v>40</v>
      </c>
      <c r="K98" s="7">
        <v>500</v>
      </c>
      <c r="L98" s="7">
        <v>300</v>
      </c>
      <c r="M98" s="7" t="s">
        <v>235</v>
      </c>
      <c r="N98" s="7" t="s">
        <v>353</v>
      </c>
      <c r="O98" s="7" t="s">
        <v>458</v>
      </c>
    </row>
    <row r="99" spans="1:15" x14ac:dyDescent="0.25">
      <c r="A99" s="7">
        <v>96</v>
      </c>
      <c r="B99" s="7">
        <v>14</v>
      </c>
      <c r="C99" s="7">
        <v>2</v>
      </c>
      <c r="D99" s="7" t="str">
        <f>IFERROR(INDEX(FishGroup!$B$4:$B$31,MATCH(B99,FishGroup!$A$4:$A$31,0)),"기타")</f>
        <v>가오리</v>
      </c>
      <c r="E99" s="7" t="s">
        <v>138</v>
      </c>
      <c r="F99" s="7">
        <v>960</v>
      </c>
      <c r="G99" s="7" t="s">
        <v>493</v>
      </c>
      <c r="H99" s="7">
        <v>0</v>
      </c>
      <c r="I99" s="7">
        <v>100</v>
      </c>
      <c r="J99" s="7">
        <v>20</v>
      </c>
      <c r="K99" s="7">
        <v>500</v>
      </c>
      <c r="L99" s="7">
        <v>300</v>
      </c>
      <c r="M99" s="7" t="s">
        <v>240</v>
      </c>
      <c r="N99" s="7" t="s">
        <v>358</v>
      </c>
      <c r="O99" s="7" t="s">
        <v>463</v>
      </c>
    </row>
    <row r="100" spans="1:15" x14ac:dyDescent="0.25">
      <c r="A100" s="7">
        <v>97</v>
      </c>
      <c r="B100" s="7">
        <v>21</v>
      </c>
      <c r="C100" s="7">
        <v>2</v>
      </c>
      <c r="D100" s="7" t="str">
        <f>IFERROR(INDEX(FishGroup!$B$4:$B$31,MATCH(B100,FishGroup!$A$4:$A$31,0)),"기타")</f>
        <v>수구리</v>
      </c>
      <c r="E100" s="7" t="s">
        <v>121</v>
      </c>
      <c r="F100" s="7">
        <v>970</v>
      </c>
      <c r="G100" s="7" t="s">
        <v>487</v>
      </c>
      <c r="H100" s="7">
        <v>0</v>
      </c>
      <c r="I100" s="7">
        <v>100</v>
      </c>
      <c r="J100" s="7">
        <v>50</v>
      </c>
      <c r="K100" s="7">
        <v>500</v>
      </c>
      <c r="L100" s="7">
        <v>300</v>
      </c>
      <c r="M100" s="7" t="s">
        <v>226</v>
      </c>
      <c r="N100" s="7" t="s">
        <v>344</v>
      </c>
      <c r="O100" s="7" t="s">
        <v>449</v>
      </c>
    </row>
    <row r="101" spans="1:15" x14ac:dyDescent="0.25">
      <c r="A101" s="7">
        <v>98</v>
      </c>
      <c r="B101" s="7">
        <v>14</v>
      </c>
      <c r="C101" s="7">
        <v>2</v>
      </c>
      <c r="D101" s="7" t="str">
        <f>IFERROR(INDEX(FishGroup!$B$4:$B$31,MATCH(B101,FishGroup!$A$4:$A$31,0)),"기타")</f>
        <v>가오리</v>
      </c>
      <c r="E101" s="7" t="s">
        <v>130</v>
      </c>
      <c r="F101" s="7">
        <v>980</v>
      </c>
      <c r="G101" s="7" t="s">
        <v>487</v>
      </c>
      <c r="H101" s="7">
        <v>0</v>
      </c>
      <c r="I101" s="7">
        <v>100</v>
      </c>
      <c r="J101" s="7">
        <v>35</v>
      </c>
      <c r="K101" s="7">
        <v>500</v>
      </c>
      <c r="L101" s="7">
        <v>300</v>
      </c>
      <c r="M101" s="7" t="s">
        <v>233</v>
      </c>
      <c r="N101" s="7" t="s">
        <v>351</v>
      </c>
      <c r="O101" s="7" t="s">
        <v>456</v>
      </c>
    </row>
    <row r="102" spans="1:15" x14ac:dyDescent="0.25">
      <c r="A102" s="7">
        <v>99</v>
      </c>
      <c r="B102" s="7">
        <v>21</v>
      </c>
      <c r="C102" s="7">
        <v>2</v>
      </c>
      <c r="D102" s="7" t="str">
        <f>IFERROR(INDEX(FishGroup!$B$4:$B$31,MATCH(B102,FishGroup!$A$4:$A$31,0)),"기타")</f>
        <v>수구리</v>
      </c>
      <c r="E102" s="7" t="s">
        <v>122</v>
      </c>
      <c r="F102" s="7">
        <v>990</v>
      </c>
      <c r="G102" s="7" t="s">
        <v>487</v>
      </c>
      <c r="H102" s="7">
        <v>0</v>
      </c>
      <c r="I102" s="7">
        <v>100</v>
      </c>
      <c r="J102" s="7">
        <v>35</v>
      </c>
      <c r="K102" s="7">
        <v>500</v>
      </c>
      <c r="L102" s="7">
        <v>300</v>
      </c>
      <c r="M102" s="7" t="s">
        <v>227</v>
      </c>
      <c r="N102" s="7" t="s">
        <v>345</v>
      </c>
      <c r="O102" s="7" t="s">
        <v>450</v>
      </c>
    </row>
    <row r="103" spans="1:15" x14ac:dyDescent="0.25">
      <c r="A103" s="7">
        <v>100</v>
      </c>
      <c r="B103" s="7">
        <v>21</v>
      </c>
      <c r="C103" s="7">
        <v>2</v>
      </c>
      <c r="D103" s="7" t="str">
        <f>IFERROR(INDEX(FishGroup!$B$4:$B$31,MATCH(B103,FishGroup!$A$4:$A$31,0)),"기타")</f>
        <v>수구리</v>
      </c>
      <c r="E103" s="7" t="s">
        <v>124</v>
      </c>
      <c r="F103" s="7">
        <v>1000</v>
      </c>
      <c r="G103" s="7" t="s">
        <v>487</v>
      </c>
      <c r="H103" s="7">
        <v>0</v>
      </c>
      <c r="I103" s="7">
        <v>100</v>
      </c>
      <c r="J103" s="7">
        <v>35</v>
      </c>
      <c r="K103" s="7">
        <v>500</v>
      </c>
      <c r="L103" s="7">
        <v>300</v>
      </c>
      <c r="M103" s="7" t="s">
        <v>228</v>
      </c>
      <c r="N103" s="7" t="s">
        <v>346</v>
      </c>
      <c r="O103" s="7" t="s">
        <v>451</v>
      </c>
    </row>
    <row r="104" spans="1:15" x14ac:dyDescent="0.25">
      <c r="A104" s="7">
        <v>101</v>
      </c>
      <c r="B104" s="7">
        <v>15</v>
      </c>
      <c r="C104" s="7">
        <v>1</v>
      </c>
      <c r="D104" s="7" t="str">
        <f>IFERROR(INDEX(FishGroup!$B$4:$B$31,MATCH(B104,FishGroup!$A$4:$A$31,0)),"기타")</f>
        <v>상어</v>
      </c>
      <c r="E104" s="7" t="s">
        <v>134</v>
      </c>
      <c r="F104" s="7">
        <v>1010</v>
      </c>
      <c r="G104" s="7" t="s">
        <v>493</v>
      </c>
      <c r="H104" s="7">
        <v>0</v>
      </c>
      <c r="I104" s="7">
        <v>100</v>
      </c>
      <c r="J104" s="7">
        <v>45</v>
      </c>
      <c r="K104" s="7">
        <v>600</v>
      </c>
      <c r="L104" s="7">
        <v>400</v>
      </c>
      <c r="M104" s="7" t="s">
        <v>236</v>
      </c>
      <c r="N104" s="7" t="s">
        <v>354</v>
      </c>
      <c r="O104" s="7" t="s">
        <v>459</v>
      </c>
    </row>
    <row r="105" spans="1:15" x14ac:dyDescent="0.25">
      <c r="A105" s="7">
        <v>102</v>
      </c>
      <c r="B105" s="7">
        <v>15</v>
      </c>
      <c r="C105" s="7">
        <v>1</v>
      </c>
      <c r="D105" s="7" t="str">
        <f>IFERROR(INDEX(FishGroup!$B$4:$B$31,MATCH(B105,FishGroup!$A$4:$A$31,0)),"기타")</f>
        <v>상어</v>
      </c>
      <c r="E105" s="7" t="s">
        <v>135</v>
      </c>
      <c r="F105" s="7">
        <v>1020</v>
      </c>
      <c r="G105" s="7" t="s">
        <v>493</v>
      </c>
      <c r="H105" s="7">
        <v>0</v>
      </c>
      <c r="I105" s="7">
        <v>100</v>
      </c>
      <c r="J105" s="7">
        <v>45</v>
      </c>
      <c r="K105" s="7">
        <v>600</v>
      </c>
      <c r="L105" s="7">
        <v>300</v>
      </c>
      <c r="M105" s="7" t="s">
        <v>237</v>
      </c>
      <c r="N105" s="7" t="s">
        <v>355</v>
      </c>
      <c r="O105" s="7" t="s">
        <v>460</v>
      </c>
    </row>
    <row r="106" spans="1:15" x14ac:dyDescent="0.25">
      <c r="A106" s="7">
        <v>103</v>
      </c>
      <c r="B106" s="7">
        <v>15</v>
      </c>
      <c r="C106" s="7">
        <v>2</v>
      </c>
      <c r="D106" s="7" t="str">
        <f>IFERROR(INDEX(FishGroup!$B$4:$B$31,MATCH(B106,FishGroup!$A$4:$A$31,0)),"기타")</f>
        <v>상어</v>
      </c>
      <c r="E106" s="7" t="s">
        <v>142</v>
      </c>
      <c r="F106" s="7">
        <v>1030</v>
      </c>
      <c r="G106" s="7" t="s">
        <v>493</v>
      </c>
      <c r="H106" s="7">
        <v>0</v>
      </c>
      <c r="I106" s="7">
        <v>100</v>
      </c>
      <c r="J106" s="7">
        <v>30</v>
      </c>
      <c r="K106" s="7">
        <v>600</v>
      </c>
      <c r="L106" s="7">
        <v>450</v>
      </c>
      <c r="M106" s="7" t="s">
        <v>243</v>
      </c>
      <c r="N106" s="7" t="s">
        <v>362</v>
      </c>
      <c r="O106" s="7" t="s">
        <v>467</v>
      </c>
    </row>
    <row r="107" spans="1:15" x14ac:dyDescent="0.25">
      <c r="A107" s="7">
        <v>104</v>
      </c>
      <c r="B107" s="7">
        <v>15</v>
      </c>
      <c r="C107" s="7">
        <v>2</v>
      </c>
      <c r="D107" s="7" t="str">
        <f>IFERROR(INDEX(FishGroup!$B$4:$B$31,MATCH(B107,FishGroup!$A$4:$A$31,0)),"기타")</f>
        <v>상어</v>
      </c>
      <c r="E107" s="7" t="s">
        <v>146</v>
      </c>
      <c r="F107" s="7">
        <v>1040</v>
      </c>
      <c r="G107" s="7" t="s">
        <v>493</v>
      </c>
      <c r="H107" s="7">
        <v>0</v>
      </c>
      <c r="I107" s="7">
        <v>100</v>
      </c>
      <c r="J107" s="7">
        <v>20</v>
      </c>
      <c r="K107" s="7">
        <v>600</v>
      </c>
      <c r="L107" s="7">
        <v>400</v>
      </c>
      <c r="M107" s="7" t="s">
        <v>247</v>
      </c>
      <c r="N107" s="7" t="s">
        <v>366</v>
      </c>
      <c r="O107" s="7" t="s">
        <v>471</v>
      </c>
    </row>
    <row r="108" spans="1:15" x14ac:dyDescent="0.25">
      <c r="A108" s="7">
        <v>105</v>
      </c>
      <c r="B108" s="7">
        <v>15</v>
      </c>
      <c r="C108" s="7">
        <v>1</v>
      </c>
      <c r="D108" s="7" t="str">
        <f>IFERROR(INDEX(FishGroup!$B$4:$B$31,MATCH(B108,FishGroup!$A$4:$A$31,0)),"기타")</f>
        <v>상어</v>
      </c>
      <c r="E108" s="7" t="s">
        <v>143</v>
      </c>
      <c r="F108" s="7">
        <v>1050</v>
      </c>
      <c r="G108" s="7" t="s">
        <v>493</v>
      </c>
      <c r="H108" s="7">
        <v>0</v>
      </c>
      <c r="I108" s="7">
        <v>100</v>
      </c>
      <c r="J108" s="7">
        <v>16</v>
      </c>
      <c r="K108" s="7">
        <v>700</v>
      </c>
      <c r="L108" s="7">
        <v>500</v>
      </c>
      <c r="M108" s="7" t="s">
        <v>244</v>
      </c>
      <c r="N108" s="7" t="s">
        <v>363</v>
      </c>
      <c r="O108" s="7" t="s">
        <v>468</v>
      </c>
    </row>
    <row r="109" spans="1:15" x14ac:dyDescent="0.25">
      <c r="A109" s="7">
        <v>106</v>
      </c>
      <c r="B109" s="7">
        <v>15</v>
      </c>
      <c r="C109" s="7">
        <v>2</v>
      </c>
      <c r="D109" s="7" t="str">
        <f>IFERROR(INDEX(FishGroup!$B$4:$B$31,MATCH(B109,FishGroup!$A$4:$A$31,0)),"기타")</f>
        <v>상어</v>
      </c>
      <c r="E109" s="7" t="s">
        <v>144</v>
      </c>
      <c r="F109" s="7">
        <v>1060</v>
      </c>
      <c r="G109" s="7" t="s">
        <v>493</v>
      </c>
      <c r="H109" s="7">
        <v>0</v>
      </c>
      <c r="I109" s="7">
        <v>100</v>
      </c>
      <c r="J109" s="7">
        <v>16</v>
      </c>
      <c r="K109" s="7">
        <v>750</v>
      </c>
      <c r="L109" s="7">
        <v>500</v>
      </c>
      <c r="M109" s="7" t="s">
        <v>245</v>
      </c>
      <c r="N109" s="7" t="s">
        <v>364</v>
      </c>
      <c r="O109" s="7" t="s">
        <v>469</v>
      </c>
    </row>
    <row r="110" spans="1:15" x14ac:dyDescent="0.25">
      <c r="A110" s="7">
        <v>107</v>
      </c>
      <c r="B110" s="7">
        <v>16</v>
      </c>
      <c r="C110" s="7">
        <v>1</v>
      </c>
      <c r="D110" s="7" t="str">
        <f>IFERROR(INDEX(FishGroup!$B$4:$B$31,MATCH(B110,FishGroup!$A$4:$A$31,0)),"기타")</f>
        <v>개복치</v>
      </c>
      <c r="E110" s="7" t="s">
        <v>125</v>
      </c>
      <c r="F110" s="7">
        <v>1070</v>
      </c>
      <c r="G110" s="7" t="s">
        <v>491</v>
      </c>
      <c r="H110" s="7">
        <v>0</v>
      </c>
      <c r="I110" s="7">
        <v>100</v>
      </c>
      <c r="J110" s="7">
        <v>26</v>
      </c>
      <c r="K110" s="7">
        <v>600</v>
      </c>
      <c r="L110" s="7">
        <v>400</v>
      </c>
      <c r="M110" s="7" t="s">
        <v>229</v>
      </c>
      <c r="N110" s="7" t="s">
        <v>347</v>
      </c>
      <c r="O110" s="7" t="s">
        <v>452</v>
      </c>
    </row>
    <row r="111" spans="1:15" x14ac:dyDescent="0.25">
      <c r="A111" s="7">
        <v>108</v>
      </c>
      <c r="B111" s="7">
        <v>999</v>
      </c>
      <c r="C111" s="7">
        <v>2</v>
      </c>
      <c r="D111" s="7" t="str">
        <f>IFERROR(INDEX(FishGroup!$B$4:$B$31,MATCH(B111,FishGroup!$A$4:$A$31,0)),"기타")</f>
        <v>기타</v>
      </c>
      <c r="E111" s="7" t="s">
        <v>102</v>
      </c>
      <c r="F111" s="7">
        <v>1080</v>
      </c>
      <c r="G111" s="7" t="s">
        <v>489</v>
      </c>
      <c r="H111" s="7">
        <v>0</v>
      </c>
      <c r="I111" s="7">
        <v>100</v>
      </c>
      <c r="J111" s="7">
        <v>60</v>
      </c>
      <c r="K111" s="7">
        <v>600</v>
      </c>
      <c r="L111" s="7">
        <v>400</v>
      </c>
      <c r="M111" s="7" t="s">
        <v>210</v>
      </c>
      <c r="N111" s="7" t="s">
        <v>328</v>
      </c>
      <c r="O111" s="7" t="s">
        <v>433</v>
      </c>
    </row>
    <row r="112" spans="1:15" ht="16.5" x14ac:dyDescent="0.25">
      <c r="A112" s="7">
        <v>109</v>
      </c>
      <c r="B112" s="7">
        <v>17</v>
      </c>
      <c r="C112" s="7">
        <v>1</v>
      </c>
      <c r="D112" s="7" t="str">
        <f>IFERROR(INDEX(FishGroup!$B$4:$B$31,MATCH(B112,FishGroup!$A$4:$A$31,0)),"기타")</f>
        <v>고래</v>
      </c>
      <c r="E112" s="27" t="s">
        <v>1059</v>
      </c>
      <c r="F112" s="7">
        <v>1090</v>
      </c>
      <c r="G112" s="7" t="s">
        <v>494</v>
      </c>
      <c r="H112" s="7">
        <v>1</v>
      </c>
      <c r="I112" s="7">
        <v>100</v>
      </c>
      <c r="J112" s="7">
        <v>15</v>
      </c>
      <c r="K112" s="7">
        <v>500</v>
      </c>
      <c r="L112" s="7">
        <v>250</v>
      </c>
      <c r="M112" s="7" t="s">
        <v>1060</v>
      </c>
      <c r="N112" s="7" t="s">
        <v>1061</v>
      </c>
      <c r="O112" s="7" t="s">
        <v>1062</v>
      </c>
    </row>
    <row r="113" spans="1:15" x14ac:dyDescent="0.25">
      <c r="A113" s="7">
        <v>110</v>
      </c>
      <c r="B113" s="7">
        <v>17</v>
      </c>
      <c r="C113" s="7">
        <v>1</v>
      </c>
      <c r="D113" s="7" t="str">
        <f>IFERROR(INDEX(FishGroup!$B$4:$B$31,MATCH(B113,FishGroup!$A$4:$A$31,0)),"기타")</f>
        <v>고래</v>
      </c>
      <c r="E113" s="7" t="s">
        <v>151</v>
      </c>
      <c r="F113" s="7">
        <v>1100</v>
      </c>
      <c r="G113" s="7" t="s">
        <v>494</v>
      </c>
      <c r="H113" s="7">
        <v>0</v>
      </c>
      <c r="I113" s="7">
        <v>100</v>
      </c>
      <c r="J113" s="7">
        <v>15</v>
      </c>
      <c r="K113" s="7">
        <v>2000</v>
      </c>
      <c r="L113" s="7">
        <v>1000</v>
      </c>
      <c r="M113" s="7" t="s">
        <v>252</v>
      </c>
      <c r="N113" s="7" t="s">
        <v>371</v>
      </c>
      <c r="O113" s="7" t="s">
        <v>476</v>
      </c>
    </row>
    <row r="114" spans="1:15" x14ac:dyDescent="0.25">
      <c r="A114" s="7">
        <v>111</v>
      </c>
      <c r="B114" s="7">
        <v>17</v>
      </c>
      <c r="C114" s="7">
        <v>2</v>
      </c>
      <c r="D114" s="7" t="str">
        <f>IFERROR(INDEX(FishGroup!$B$4:$B$31,MATCH(B114,FishGroup!$A$4:$A$31,0)),"기타")</f>
        <v>고래</v>
      </c>
      <c r="E114" s="7" t="s">
        <v>126</v>
      </c>
      <c r="F114" s="7">
        <v>1110</v>
      </c>
      <c r="G114" s="7" t="s">
        <v>487</v>
      </c>
      <c r="H114" s="7">
        <v>0</v>
      </c>
      <c r="I114" s="7">
        <v>100</v>
      </c>
      <c r="J114" s="7">
        <v>15</v>
      </c>
      <c r="K114" s="7">
        <v>2000</v>
      </c>
      <c r="L114" s="7">
        <v>1000</v>
      </c>
      <c r="M114" s="7" t="s">
        <v>230</v>
      </c>
      <c r="N114" s="7" t="s">
        <v>348</v>
      </c>
      <c r="O114" s="7" t="s">
        <v>453</v>
      </c>
    </row>
    <row r="115" spans="1:15" x14ac:dyDescent="0.25">
      <c r="A115" s="7">
        <v>112</v>
      </c>
      <c r="B115" s="7">
        <v>17</v>
      </c>
      <c r="C115" s="7">
        <v>1</v>
      </c>
      <c r="D115" s="7" t="str">
        <f>IFERROR(INDEX(FishGroup!$B$4:$B$31,MATCH(B115,FishGroup!$A$4:$A$31,0)),"기타")</f>
        <v>고래</v>
      </c>
      <c r="E115" s="7" t="s">
        <v>147</v>
      </c>
      <c r="F115" s="7">
        <v>1120</v>
      </c>
      <c r="G115" s="7" t="s">
        <v>494</v>
      </c>
      <c r="H115" s="7">
        <v>0</v>
      </c>
      <c r="I115" s="7">
        <v>100</v>
      </c>
      <c r="J115" s="7">
        <v>12</v>
      </c>
      <c r="K115" s="7">
        <v>2000</v>
      </c>
      <c r="L115" s="7">
        <v>1500</v>
      </c>
      <c r="M115" s="7" t="s">
        <v>248</v>
      </c>
      <c r="N115" s="7" t="s">
        <v>367</v>
      </c>
      <c r="O115" s="7" t="s">
        <v>472</v>
      </c>
    </row>
    <row r="116" spans="1:15" ht="16.5" x14ac:dyDescent="0.25">
      <c r="A116" s="7">
        <v>113</v>
      </c>
      <c r="B116" s="7">
        <v>13</v>
      </c>
      <c r="C116" s="7">
        <v>2</v>
      </c>
      <c r="D116" s="7" t="str">
        <f>IFERROR(INDEX(FishGroup!$B$4:$B$31,MATCH(B116,FishGroup!$A$4:$A$31,0)),"기타")</f>
        <v>돌고래</v>
      </c>
      <c r="E116" s="27" t="s">
        <v>1112</v>
      </c>
      <c r="F116" s="7">
        <v>1130</v>
      </c>
      <c r="G116" s="7" t="s">
        <v>490</v>
      </c>
      <c r="H116" s="7">
        <v>0</v>
      </c>
      <c r="I116" s="7">
        <v>100</v>
      </c>
      <c r="J116" s="7">
        <v>20</v>
      </c>
      <c r="K116" s="7">
        <v>600</v>
      </c>
      <c r="L116" s="7">
        <v>400</v>
      </c>
      <c r="M116" s="19" t="s">
        <v>1115</v>
      </c>
      <c r="N116" s="7" t="s">
        <v>1113</v>
      </c>
      <c r="O116" s="7" t="s">
        <v>1114</v>
      </c>
    </row>
    <row r="117" spans="1:15" x14ac:dyDescent="0.25">
      <c r="A117" s="7">
        <v>114</v>
      </c>
      <c r="B117" s="7">
        <v>17</v>
      </c>
      <c r="C117" s="7">
        <v>2</v>
      </c>
      <c r="D117" s="7" t="str">
        <f>IFERROR(INDEX(FishGroup!$B$4:$B$31,MATCH(B117,FishGroup!$A$4:$A$31,0)),"기타")</f>
        <v>고래</v>
      </c>
      <c r="E117" s="7" t="s">
        <v>150</v>
      </c>
      <c r="F117" s="7">
        <v>1140</v>
      </c>
      <c r="G117" s="7" t="s">
        <v>494</v>
      </c>
      <c r="H117" s="7">
        <v>0</v>
      </c>
      <c r="I117" s="7">
        <v>100</v>
      </c>
      <c r="J117" s="7">
        <v>15</v>
      </c>
      <c r="K117" s="7">
        <v>2000</v>
      </c>
      <c r="L117" s="7">
        <v>1000</v>
      </c>
      <c r="M117" s="7" t="s">
        <v>251</v>
      </c>
      <c r="N117" s="7" t="s">
        <v>370</v>
      </c>
      <c r="O117" s="7" t="s">
        <v>475</v>
      </c>
    </row>
    <row r="118" spans="1:15" x14ac:dyDescent="0.25">
      <c r="A118" s="7">
        <v>115</v>
      </c>
      <c r="B118" s="7">
        <v>17</v>
      </c>
      <c r="C118" s="7">
        <v>2</v>
      </c>
      <c r="D118" s="7" t="str">
        <f>IFERROR(INDEX(FishGroup!$B$4:$B$31,MATCH(B118,FishGroup!$A$4:$A$31,0)),"기타")</f>
        <v>고래</v>
      </c>
      <c r="E118" s="7" t="s">
        <v>152</v>
      </c>
      <c r="F118" s="7">
        <v>1150</v>
      </c>
      <c r="G118" s="7" t="s">
        <v>1127</v>
      </c>
      <c r="H118" s="7">
        <v>0</v>
      </c>
      <c r="I118" s="7">
        <v>100</v>
      </c>
      <c r="J118" s="7">
        <v>12</v>
      </c>
      <c r="K118" s="7">
        <v>2000</v>
      </c>
      <c r="L118" s="7">
        <v>1000</v>
      </c>
      <c r="M118" s="7" t="s">
        <v>253</v>
      </c>
      <c r="N118" s="7" t="s">
        <v>372</v>
      </c>
      <c r="O118" s="7" t="s">
        <v>477</v>
      </c>
    </row>
    <row r="119" spans="1:15" s="20" customFormat="1" x14ac:dyDescent="0.25">
      <c r="A119" s="20">
        <v>116</v>
      </c>
      <c r="B119" s="20">
        <v>999</v>
      </c>
      <c r="C119" s="20">
        <v>1</v>
      </c>
      <c r="D119" s="20" t="str">
        <f>IFERROR(INDEX(FishGroup!$B$4:$B$31,MATCH(B119,FishGroup!$A$4:$A$31,0)),"기타")</f>
        <v>기타</v>
      </c>
      <c r="E119" s="20" t="s">
        <v>647</v>
      </c>
      <c r="F119" s="20">
        <v>171</v>
      </c>
      <c r="G119" s="20" t="s">
        <v>482</v>
      </c>
      <c r="H119" s="20">
        <v>1</v>
      </c>
      <c r="I119" s="20">
        <v>100</v>
      </c>
      <c r="J119" s="20">
        <v>100</v>
      </c>
      <c r="K119" s="20">
        <v>500</v>
      </c>
      <c r="L119" s="20">
        <v>250</v>
      </c>
      <c r="M119" s="20" t="s">
        <v>655</v>
      </c>
      <c r="N119" s="20" t="s">
        <v>656</v>
      </c>
      <c r="O119" s="20" t="s">
        <v>657</v>
      </c>
    </row>
    <row r="120" spans="1:15" s="20" customFormat="1" x14ac:dyDescent="0.25">
      <c r="A120" s="20">
        <v>117</v>
      </c>
      <c r="B120" s="20">
        <v>999</v>
      </c>
      <c r="C120" s="20">
        <v>1</v>
      </c>
      <c r="D120" s="20" t="str">
        <f>IFERROR(INDEX(FishGroup!$B$4:$B$31,MATCH(B120,FishGroup!$A$4:$A$31,0)),"기타")</f>
        <v>기타</v>
      </c>
      <c r="E120" s="20" t="s">
        <v>648</v>
      </c>
      <c r="F120" s="20">
        <v>241</v>
      </c>
      <c r="G120" s="20" t="s">
        <v>489</v>
      </c>
      <c r="H120" s="20">
        <v>1</v>
      </c>
      <c r="I120" s="20">
        <v>100</v>
      </c>
      <c r="J120" s="20">
        <v>50</v>
      </c>
      <c r="K120" s="20">
        <v>500</v>
      </c>
      <c r="L120" s="20">
        <v>250</v>
      </c>
      <c r="M120" s="21" t="s">
        <v>658</v>
      </c>
      <c r="N120" s="20" t="s">
        <v>1074</v>
      </c>
      <c r="O120" s="20" t="s">
        <v>659</v>
      </c>
    </row>
    <row r="121" spans="1:15" s="20" customFormat="1" x14ac:dyDescent="0.25">
      <c r="A121" s="20">
        <v>118</v>
      </c>
      <c r="B121" s="20">
        <v>999</v>
      </c>
      <c r="C121" s="20">
        <v>1</v>
      </c>
      <c r="D121" s="20" t="str">
        <f>IFERROR(INDEX(FishGroup!$B$4:$B$31,MATCH(B121,FishGroup!$A$4:$A$31,0)),"기타")</f>
        <v>기타</v>
      </c>
      <c r="E121" s="20" t="s">
        <v>649</v>
      </c>
      <c r="F121" s="20">
        <v>351</v>
      </c>
      <c r="G121" s="20" t="s">
        <v>489</v>
      </c>
      <c r="H121" s="20">
        <v>0</v>
      </c>
      <c r="I121" s="20">
        <v>100</v>
      </c>
      <c r="J121" s="20">
        <v>65</v>
      </c>
      <c r="K121" s="20">
        <v>600</v>
      </c>
      <c r="L121" s="20">
        <v>400</v>
      </c>
      <c r="M121" s="20" t="s">
        <v>660</v>
      </c>
      <c r="N121" s="20" t="s">
        <v>661</v>
      </c>
      <c r="O121" s="20" t="s">
        <v>662</v>
      </c>
    </row>
    <row r="122" spans="1:15" s="20" customFormat="1" x14ac:dyDescent="0.25">
      <c r="A122" s="20">
        <v>119</v>
      </c>
      <c r="B122" s="20">
        <v>999</v>
      </c>
      <c r="C122" s="20">
        <v>1</v>
      </c>
      <c r="D122" s="20" t="str">
        <f>IFERROR(INDEX(FishGroup!$B$4:$B$31,MATCH(B122,FishGroup!$A$4:$A$31,0)),"기타")</f>
        <v>기타</v>
      </c>
      <c r="E122" s="20" t="s">
        <v>650</v>
      </c>
      <c r="F122" s="20">
        <v>441</v>
      </c>
      <c r="G122" s="20" t="s">
        <v>480</v>
      </c>
      <c r="H122" s="20">
        <v>0</v>
      </c>
      <c r="I122" s="20">
        <v>100</v>
      </c>
      <c r="J122" s="20">
        <v>70</v>
      </c>
      <c r="K122" s="20">
        <v>500</v>
      </c>
      <c r="L122" s="20">
        <v>250</v>
      </c>
      <c r="M122" s="20" t="s">
        <v>663</v>
      </c>
      <c r="N122" s="20" t="s">
        <v>664</v>
      </c>
      <c r="O122" s="20" t="s">
        <v>665</v>
      </c>
    </row>
    <row r="123" spans="1:15" s="20" customFormat="1" x14ac:dyDescent="0.25">
      <c r="A123" s="20">
        <v>120</v>
      </c>
      <c r="B123" s="20">
        <v>999</v>
      </c>
      <c r="C123" s="20">
        <v>1</v>
      </c>
      <c r="D123" s="20" t="str">
        <f>IFERROR(INDEX(FishGroup!$B$4:$B$31,MATCH(B123,FishGroup!$A$4:$A$31,0)),"기타")</f>
        <v>기타</v>
      </c>
      <c r="E123" s="20" t="s">
        <v>651</v>
      </c>
      <c r="F123" s="20">
        <v>541</v>
      </c>
      <c r="G123" s="20" t="s">
        <v>489</v>
      </c>
      <c r="H123" s="20">
        <v>0</v>
      </c>
      <c r="I123" s="20">
        <v>100</v>
      </c>
      <c r="J123" s="20">
        <v>50</v>
      </c>
      <c r="K123" s="20">
        <v>600</v>
      </c>
      <c r="L123" s="20">
        <v>400</v>
      </c>
      <c r="M123" s="20" t="s">
        <v>666</v>
      </c>
      <c r="N123" s="20" t="s">
        <v>667</v>
      </c>
      <c r="O123" s="20" t="s">
        <v>668</v>
      </c>
    </row>
    <row r="124" spans="1:15" s="20" customFormat="1" x14ac:dyDescent="0.25">
      <c r="A124" s="20">
        <v>121</v>
      </c>
      <c r="B124" s="20">
        <v>999</v>
      </c>
      <c r="C124" s="20">
        <v>1</v>
      </c>
      <c r="D124" s="20" t="str">
        <f>IFERROR(INDEX(FishGroup!$B$4:$B$31,MATCH(B124,FishGroup!$A$4:$A$31,0)),"기타")</f>
        <v>기타</v>
      </c>
      <c r="E124" s="20" t="s">
        <v>652</v>
      </c>
      <c r="F124" s="20">
        <v>661</v>
      </c>
      <c r="G124" s="20" t="s">
        <v>489</v>
      </c>
      <c r="H124" s="20">
        <v>0</v>
      </c>
      <c r="I124" s="20">
        <v>100</v>
      </c>
      <c r="J124" s="20">
        <v>60</v>
      </c>
      <c r="K124" s="20">
        <v>600</v>
      </c>
      <c r="L124" s="20">
        <v>400</v>
      </c>
      <c r="M124" s="20" t="s">
        <v>669</v>
      </c>
      <c r="N124" s="20" t="s">
        <v>670</v>
      </c>
      <c r="O124" s="20" t="s">
        <v>671</v>
      </c>
    </row>
    <row r="125" spans="1:15" s="20" customFormat="1" x14ac:dyDescent="0.25">
      <c r="A125" s="20">
        <v>122</v>
      </c>
      <c r="B125" s="20">
        <v>12</v>
      </c>
      <c r="C125" s="20">
        <v>1</v>
      </c>
      <c r="D125" s="20" t="str">
        <f>IFERROR(INDEX(FishGroup!$B$4:$B$31,MATCH(B125,FishGroup!$A$4:$A$31,0)),"기타")</f>
        <v>바다거북</v>
      </c>
      <c r="E125" s="20" t="s">
        <v>653</v>
      </c>
      <c r="F125" s="20">
        <v>871</v>
      </c>
      <c r="G125" s="20" t="s">
        <v>489</v>
      </c>
      <c r="H125" s="20">
        <v>1</v>
      </c>
      <c r="I125" s="20">
        <v>100</v>
      </c>
      <c r="J125" s="20">
        <v>80</v>
      </c>
      <c r="K125" s="20">
        <v>600</v>
      </c>
      <c r="L125" s="20">
        <v>400</v>
      </c>
      <c r="M125" s="21" t="s">
        <v>1068</v>
      </c>
      <c r="N125" s="20" t="s">
        <v>672</v>
      </c>
      <c r="O125" s="20" t="s">
        <v>673</v>
      </c>
    </row>
    <row r="126" spans="1:15" s="20" customFormat="1" x14ac:dyDescent="0.25">
      <c r="A126" s="20">
        <v>123</v>
      </c>
      <c r="B126" s="20">
        <v>17</v>
      </c>
      <c r="C126" s="20">
        <v>1</v>
      </c>
      <c r="D126" s="20" t="str">
        <f>IFERROR(INDEX(FishGroup!$B$4:$B$31,MATCH(B126,FishGroup!$A$4:$A$31,0)),"기타")</f>
        <v>고래</v>
      </c>
      <c r="E126" s="20" t="s">
        <v>654</v>
      </c>
      <c r="F126" s="20">
        <v>931</v>
      </c>
      <c r="G126" s="20" t="s">
        <v>494</v>
      </c>
      <c r="H126" s="20">
        <v>0</v>
      </c>
      <c r="I126" s="20">
        <v>100</v>
      </c>
      <c r="J126" s="20">
        <v>15</v>
      </c>
      <c r="K126" s="20">
        <v>2000</v>
      </c>
      <c r="L126" s="20">
        <v>1000</v>
      </c>
      <c r="M126" s="20" t="s">
        <v>674</v>
      </c>
      <c r="N126" s="20" t="s">
        <v>675</v>
      </c>
      <c r="O126" s="20" t="s">
        <v>676</v>
      </c>
    </row>
    <row r="127" spans="1:15" s="22" customFormat="1" x14ac:dyDescent="0.25">
      <c r="A127" s="22">
        <v>124</v>
      </c>
      <c r="B127" s="22">
        <v>0</v>
      </c>
      <c r="C127" s="22">
        <v>3</v>
      </c>
      <c r="D127" s="22" t="str">
        <f>IFERROR(INDEX(FishGroup!$B$4:$B$31,MATCH(B127,FishGroup!$A$4:$A$31,0)),"기타")</f>
        <v>크라운</v>
      </c>
      <c r="E127" s="22" t="s">
        <v>677</v>
      </c>
      <c r="F127" s="24">
        <v>1151</v>
      </c>
      <c r="G127" s="22" t="s">
        <v>482</v>
      </c>
      <c r="H127" s="22">
        <v>0</v>
      </c>
      <c r="I127" s="22">
        <v>100</v>
      </c>
      <c r="J127" s="22">
        <v>100</v>
      </c>
      <c r="K127" s="22">
        <v>500</v>
      </c>
      <c r="L127" s="22">
        <v>250</v>
      </c>
      <c r="M127" s="22" t="s">
        <v>762</v>
      </c>
      <c r="N127" s="22" t="s">
        <v>763</v>
      </c>
      <c r="O127" s="22" t="s">
        <v>764</v>
      </c>
    </row>
    <row r="128" spans="1:15" s="22" customFormat="1" x14ac:dyDescent="0.25">
      <c r="A128" s="22">
        <v>125</v>
      </c>
      <c r="B128" s="22">
        <v>0</v>
      </c>
      <c r="C128" s="22">
        <v>3</v>
      </c>
      <c r="D128" s="22" t="str">
        <f>IFERROR(INDEX(FishGroup!$B$4:$B$31,MATCH(B128,FishGroup!$A$4:$A$31,0)),"기타")</f>
        <v>크라운</v>
      </c>
      <c r="E128" s="22" t="s">
        <v>678</v>
      </c>
      <c r="F128" s="24">
        <v>1152</v>
      </c>
      <c r="G128" s="22" t="s">
        <v>479</v>
      </c>
      <c r="H128" s="22">
        <v>1</v>
      </c>
      <c r="I128" s="22">
        <v>100</v>
      </c>
      <c r="J128" s="22">
        <v>100</v>
      </c>
      <c r="K128" s="22">
        <v>500</v>
      </c>
      <c r="L128" s="22">
        <v>250</v>
      </c>
      <c r="M128" s="22" t="s">
        <v>765</v>
      </c>
      <c r="N128" s="22" t="s">
        <v>766</v>
      </c>
      <c r="O128" s="22" t="s">
        <v>767</v>
      </c>
    </row>
    <row r="129" spans="1:15" s="22" customFormat="1" x14ac:dyDescent="0.25">
      <c r="A129" s="22">
        <v>126</v>
      </c>
      <c r="B129" s="22">
        <v>0</v>
      </c>
      <c r="C129" s="22">
        <v>3</v>
      </c>
      <c r="D129" s="22" t="str">
        <f>IFERROR(INDEX(FishGroup!$B$4:$B$31,MATCH(B129,FishGroup!$A$4:$A$31,0)),"기타")</f>
        <v>크라운</v>
      </c>
      <c r="E129" s="22" t="s">
        <v>679</v>
      </c>
      <c r="F129" s="24">
        <v>1153</v>
      </c>
      <c r="G129" s="22" t="s">
        <v>479</v>
      </c>
      <c r="H129" s="22">
        <v>0</v>
      </c>
      <c r="I129" s="22">
        <v>100</v>
      </c>
      <c r="J129" s="22">
        <v>100</v>
      </c>
      <c r="K129" s="22">
        <v>500</v>
      </c>
      <c r="L129" s="22">
        <v>250</v>
      </c>
      <c r="M129" s="22" t="s">
        <v>768</v>
      </c>
      <c r="N129" s="22" t="s">
        <v>769</v>
      </c>
      <c r="O129" s="22" t="s">
        <v>770</v>
      </c>
    </row>
    <row r="130" spans="1:15" s="22" customFormat="1" x14ac:dyDescent="0.25">
      <c r="A130" s="22">
        <v>127</v>
      </c>
      <c r="B130" s="22">
        <v>0</v>
      </c>
      <c r="C130" s="22">
        <v>3</v>
      </c>
      <c r="D130" s="22" t="str">
        <f>IFERROR(INDEX(FishGroup!$B$4:$B$31,MATCH(B130,FishGroup!$A$4:$A$31,0)),"기타")</f>
        <v>크라운</v>
      </c>
      <c r="E130" s="22" t="s">
        <v>680</v>
      </c>
      <c r="F130" s="24">
        <v>1154</v>
      </c>
      <c r="G130" s="22" t="s">
        <v>479</v>
      </c>
      <c r="H130" s="22">
        <v>0</v>
      </c>
      <c r="I130" s="22">
        <v>100</v>
      </c>
      <c r="J130" s="22">
        <v>100</v>
      </c>
      <c r="K130" s="22">
        <v>500</v>
      </c>
      <c r="L130" s="22">
        <v>250</v>
      </c>
      <c r="M130" s="22" t="s">
        <v>771</v>
      </c>
      <c r="N130" s="22" t="s">
        <v>772</v>
      </c>
      <c r="O130" s="22" t="s">
        <v>773</v>
      </c>
    </row>
    <row r="131" spans="1:15" s="22" customFormat="1" x14ac:dyDescent="0.25">
      <c r="A131" s="22">
        <v>128</v>
      </c>
      <c r="B131" s="22">
        <v>0</v>
      </c>
      <c r="C131" s="22">
        <v>3</v>
      </c>
      <c r="D131" s="22" t="str">
        <f>IFERROR(INDEX(FishGroup!$B$4:$B$31,MATCH(B131,FishGroup!$A$4:$A$31,0)),"기타")</f>
        <v>크라운</v>
      </c>
      <c r="E131" s="22" t="s">
        <v>681</v>
      </c>
      <c r="F131" s="24">
        <v>1155</v>
      </c>
      <c r="G131" s="22" t="s">
        <v>479</v>
      </c>
      <c r="H131" s="22">
        <v>0</v>
      </c>
      <c r="I131" s="22">
        <v>100</v>
      </c>
      <c r="J131" s="22">
        <v>100</v>
      </c>
      <c r="K131" s="22">
        <v>500</v>
      </c>
      <c r="L131" s="22">
        <v>250</v>
      </c>
      <c r="M131" s="22" t="s">
        <v>774</v>
      </c>
      <c r="N131" s="22" t="s">
        <v>775</v>
      </c>
      <c r="O131" s="22" t="s">
        <v>776</v>
      </c>
    </row>
    <row r="132" spans="1:15" s="22" customFormat="1" x14ac:dyDescent="0.25">
      <c r="A132" s="22">
        <v>129</v>
      </c>
      <c r="B132" s="22">
        <v>0</v>
      </c>
      <c r="C132" s="22">
        <v>3</v>
      </c>
      <c r="D132" s="22" t="str">
        <f>IFERROR(INDEX(FishGroup!$B$4:$B$31,MATCH(B132,FishGroup!$A$4:$A$31,0)),"기타")</f>
        <v>크라운</v>
      </c>
      <c r="E132" s="22" t="s">
        <v>682</v>
      </c>
      <c r="F132" s="24">
        <v>1156</v>
      </c>
      <c r="G132" s="22" t="s">
        <v>479</v>
      </c>
      <c r="H132" s="22">
        <v>1</v>
      </c>
      <c r="I132" s="22">
        <v>100</v>
      </c>
      <c r="J132" s="22">
        <v>100</v>
      </c>
      <c r="K132" s="22">
        <v>500</v>
      </c>
      <c r="L132" s="22">
        <v>250</v>
      </c>
      <c r="M132" s="22" t="s">
        <v>777</v>
      </c>
      <c r="N132" s="22" t="s">
        <v>778</v>
      </c>
      <c r="O132" s="22" t="s">
        <v>779</v>
      </c>
    </row>
    <row r="133" spans="1:15" s="22" customFormat="1" ht="16.5" x14ac:dyDescent="0.25">
      <c r="A133" s="22">
        <v>130</v>
      </c>
      <c r="B133" s="22">
        <v>0</v>
      </c>
      <c r="C133" s="22">
        <v>3</v>
      </c>
      <c r="D133" s="22" t="str">
        <f>IFERROR(INDEX(FishGroup!$B$4:$B$31,MATCH(B133,FishGroup!$A$4:$A$31,0)),"기타")</f>
        <v>크라운</v>
      </c>
      <c r="E133" s="23" t="s">
        <v>1017</v>
      </c>
      <c r="F133" s="24">
        <v>1157</v>
      </c>
      <c r="G133" s="22" t="s">
        <v>479</v>
      </c>
      <c r="H133" s="22">
        <v>1</v>
      </c>
      <c r="I133" s="22">
        <v>100</v>
      </c>
      <c r="J133" s="22">
        <v>100</v>
      </c>
      <c r="K133" s="22">
        <v>500</v>
      </c>
      <c r="L133" s="22">
        <v>500</v>
      </c>
      <c r="M133" s="22" t="s">
        <v>1024</v>
      </c>
      <c r="N133" s="22" t="s">
        <v>1025</v>
      </c>
      <c r="O133" s="22" t="s">
        <v>1026</v>
      </c>
    </row>
    <row r="134" spans="1:15" s="22" customFormat="1" x14ac:dyDescent="0.25">
      <c r="A134" s="22">
        <v>131</v>
      </c>
      <c r="B134" s="22">
        <v>1</v>
      </c>
      <c r="C134" s="22">
        <v>3</v>
      </c>
      <c r="D134" s="22" t="str">
        <f>IFERROR(INDEX(FishGroup!$B$4:$B$31,MATCH(B134,FishGroup!$A$4:$A$31,0)),"기타")</f>
        <v>고비</v>
      </c>
      <c r="E134" s="22" t="s">
        <v>683</v>
      </c>
      <c r="F134" s="24">
        <v>1158</v>
      </c>
      <c r="G134" s="22" t="s">
        <v>482</v>
      </c>
      <c r="H134" s="22">
        <v>0</v>
      </c>
      <c r="I134" s="22">
        <v>50</v>
      </c>
      <c r="J134" s="22">
        <v>99</v>
      </c>
      <c r="K134" s="22">
        <v>500</v>
      </c>
      <c r="L134" s="22">
        <v>500</v>
      </c>
      <c r="M134" s="22" t="s">
        <v>780</v>
      </c>
      <c r="N134" s="22" t="s">
        <v>781</v>
      </c>
      <c r="O134" s="22" t="s">
        <v>782</v>
      </c>
    </row>
    <row r="135" spans="1:15" s="22" customFormat="1" x14ac:dyDescent="0.25">
      <c r="A135" s="22">
        <v>132</v>
      </c>
      <c r="B135" s="22">
        <v>1</v>
      </c>
      <c r="C135" s="22">
        <v>3</v>
      </c>
      <c r="D135" s="22" t="str">
        <f>IFERROR(INDEX(FishGroup!$B$4:$B$31,MATCH(B135,FishGroup!$A$4:$A$31,0)),"기타")</f>
        <v>고비</v>
      </c>
      <c r="E135" s="22" t="s">
        <v>684</v>
      </c>
      <c r="F135" s="24">
        <v>1159</v>
      </c>
      <c r="G135" s="22" t="s">
        <v>482</v>
      </c>
      <c r="H135" s="22">
        <v>0</v>
      </c>
      <c r="I135" s="22">
        <v>50</v>
      </c>
      <c r="J135" s="22">
        <v>99</v>
      </c>
      <c r="K135" s="22">
        <v>500</v>
      </c>
      <c r="L135" s="22">
        <v>500</v>
      </c>
      <c r="M135" s="22" t="s">
        <v>783</v>
      </c>
      <c r="N135" s="22" t="s">
        <v>784</v>
      </c>
      <c r="O135" s="22" t="s">
        <v>785</v>
      </c>
    </row>
    <row r="136" spans="1:15" s="22" customFormat="1" x14ac:dyDescent="0.25">
      <c r="A136" s="22">
        <v>133</v>
      </c>
      <c r="B136" s="22">
        <v>1</v>
      </c>
      <c r="C136" s="22">
        <v>3</v>
      </c>
      <c r="D136" s="22" t="str">
        <f>IFERROR(INDEX(FishGroup!$B$4:$B$31,MATCH(B136,FishGroup!$A$4:$A$31,0)),"기타")</f>
        <v>고비</v>
      </c>
      <c r="E136" s="22" t="s">
        <v>685</v>
      </c>
      <c r="F136" s="24">
        <v>1160</v>
      </c>
      <c r="G136" s="22" t="s">
        <v>482</v>
      </c>
      <c r="H136" s="22">
        <v>0</v>
      </c>
      <c r="I136" s="22">
        <v>100</v>
      </c>
      <c r="J136" s="22">
        <v>100</v>
      </c>
      <c r="K136" s="22">
        <v>500</v>
      </c>
      <c r="L136" s="22">
        <v>250</v>
      </c>
      <c r="M136" s="22" t="s">
        <v>786</v>
      </c>
      <c r="N136" s="22" t="s">
        <v>787</v>
      </c>
      <c r="O136" s="22" t="s">
        <v>788</v>
      </c>
    </row>
    <row r="137" spans="1:15" s="22" customFormat="1" x14ac:dyDescent="0.25">
      <c r="A137" s="22">
        <v>134</v>
      </c>
      <c r="B137" s="22">
        <v>1</v>
      </c>
      <c r="C137" s="22">
        <v>3</v>
      </c>
      <c r="D137" s="22" t="str">
        <f>IFERROR(INDEX(FishGroup!$B$4:$B$31,MATCH(B137,FishGroup!$A$4:$A$31,0)),"기타")</f>
        <v>고비</v>
      </c>
      <c r="E137" s="22" t="s">
        <v>686</v>
      </c>
      <c r="F137" s="24">
        <v>1161</v>
      </c>
      <c r="G137" s="22" t="s">
        <v>482</v>
      </c>
      <c r="H137" s="22">
        <v>1</v>
      </c>
      <c r="I137" s="22">
        <v>50</v>
      </c>
      <c r="J137" s="22">
        <v>95</v>
      </c>
      <c r="K137" s="22">
        <v>500</v>
      </c>
      <c r="L137" s="22">
        <v>250</v>
      </c>
      <c r="M137" s="22" t="s">
        <v>789</v>
      </c>
      <c r="N137" s="22" t="s">
        <v>790</v>
      </c>
      <c r="O137" s="22" t="s">
        <v>791</v>
      </c>
    </row>
    <row r="138" spans="1:15" s="22" customFormat="1" x14ac:dyDescent="0.25">
      <c r="A138" s="22">
        <v>135</v>
      </c>
      <c r="B138" s="22">
        <v>1</v>
      </c>
      <c r="C138" s="22">
        <v>3</v>
      </c>
      <c r="D138" s="22" t="str">
        <f>IFERROR(INDEX(FishGroup!$B$4:$B$31,MATCH(B138,FishGroup!$A$4:$A$31,0)),"기타")</f>
        <v>고비</v>
      </c>
      <c r="E138" s="22" t="s">
        <v>687</v>
      </c>
      <c r="F138" s="24">
        <v>1162</v>
      </c>
      <c r="G138" s="22" t="s">
        <v>482</v>
      </c>
      <c r="H138" s="22">
        <v>1</v>
      </c>
      <c r="I138" s="22">
        <v>50</v>
      </c>
      <c r="J138" s="22">
        <v>95</v>
      </c>
      <c r="K138" s="22">
        <v>500</v>
      </c>
      <c r="L138" s="22">
        <v>250</v>
      </c>
      <c r="M138" s="22" t="s">
        <v>792</v>
      </c>
      <c r="N138" s="22" t="s">
        <v>793</v>
      </c>
      <c r="O138" s="22" t="s">
        <v>794</v>
      </c>
    </row>
    <row r="139" spans="1:15" s="22" customFormat="1" x14ac:dyDescent="0.25">
      <c r="A139" s="22">
        <v>136</v>
      </c>
      <c r="B139" s="22">
        <v>1</v>
      </c>
      <c r="C139" s="22">
        <v>3</v>
      </c>
      <c r="D139" s="22" t="str">
        <f>IFERROR(INDEX(FishGroup!$B$4:$B$31,MATCH(B139,FishGroup!$A$4:$A$31,0)),"기타")</f>
        <v>고비</v>
      </c>
      <c r="E139" s="22" t="s">
        <v>688</v>
      </c>
      <c r="F139" s="24">
        <v>1163</v>
      </c>
      <c r="G139" s="22" t="s">
        <v>482</v>
      </c>
      <c r="H139" s="22">
        <v>1</v>
      </c>
      <c r="I139" s="22">
        <v>100</v>
      </c>
      <c r="J139" s="22">
        <v>70</v>
      </c>
      <c r="K139" s="22">
        <v>500</v>
      </c>
      <c r="L139" s="22">
        <v>250</v>
      </c>
      <c r="M139" s="22" t="s">
        <v>795</v>
      </c>
      <c r="N139" s="22" t="s">
        <v>796</v>
      </c>
      <c r="O139" s="22" t="s">
        <v>797</v>
      </c>
    </row>
    <row r="140" spans="1:15" s="22" customFormat="1" x14ac:dyDescent="0.25">
      <c r="A140" s="22">
        <v>137</v>
      </c>
      <c r="B140" s="22">
        <v>2</v>
      </c>
      <c r="C140" s="22">
        <v>3</v>
      </c>
      <c r="D140" s="22" t="str">
        <f>IFERROR(INDEX(FishGroup!$B$4:$B$31,MATCH(B140,FishGroup!$A$4:$A$31,0)),"기타")</f>
        <v>탱</v>
      </c>
      <c r="E140" s="22" t="s">
        <v>689</v>
      </c>
      <c r="F140" s="24">
        <v>1164</v>
      </c>
      <c r="G140" s="22" t="s">
        <v>480</v>
      </c>
      <c r="H140" s="22">
        <v>0</v>
      </c>
      <c r="I140" s="22">
        <v>100</v>
      </c>
      <c r="J140" s="22">
        <v>80</v>
      </c>
      <c r="K140" s="22">
        <v>500</v>
      </c>
      <c r="L140" s="22">
        <v>250</v>
      </c>
      <c r="M140" s="22" t="s">
        <v>798</v>
      </c>
      <c r="N140" s="22" t="s">
        <v>799</v>
      </c>
      <c r="O140" s="22" t="s">
        <v>800</v>
      </c>
    </row>
    <row r="141" spans="1:15" s="22" customFormat="1" x14ac:dyDescent="0.25">
      <c r="A141" s="22">
        <v>138</v>
      </c>
      <c r="B141" s="22">
        <v>2</v>
      </c>
      <c r="C141" s="22">
        <v>3</v>
      </c>
      <c r="D141" s="22" t="str">
        <f>IFERROR(INDEX(FishGroup!$B$4:$B$31,MATCH(B141,FishGroup!$A$4:$A$31,0)),"기타")</f>
        <v>탱</v>
      </c>
      <c r="E141" s="22" t="s">
        <v>690</v>
      </c>
      <c r="F141" s="24">
        <v>1165</v>
      </c>
      <c r="G141" s="22" t="s">
        <v>480</v>
      </c>
      <c r="H141" s="22">
        <v>0</v>
      </c>
      <c r="I141" s="22">
        <v>100</v>
      </c>
      <c r="J141" s="22">
        <v>80</v>
      </c>
      <c r="K141" s="22">
        <v>500</v>
      </c>
      <c r="L141" s="22">
        <v>250</v>
      </c>
      <c r="M141" s="22" t="s">
        <v>801</v>
      </c>
      <c r="N141" s="22" t="s">
        <v>802</v>
      </c>
      <c r="O141" s="22" t="s">
        <v>803</v>
      </c>
    </row>
    <row r="142" spans="1:15" s="22" customFormat="1" x14ac:dyDescent="0.25">
      <c r="A142" s="22">
        <v>139</v>
      </c>
      <c r="B142" s="22">
        <v>2</v>
      </c>
      <c r="C142" s="22">
        <v>3</v>
      </c>
      <c r="D142" s="22" t="str">
        <f>IFERROR(INDEX(FishGroup!$B$4:$B$31,MATCH(B142,FishGroup!$A$4:$A$31,0)),"기타")</f>
        <v>탱</v>
      </c>
      <c r="E142" s="22" t="s">
        <v>691</v>
      </c>
      <c r="F142" s="24">
        <v>1166</v>
      </c>
      <c r="G142" s="22" t="s">
        <v>480</v>
      </c>
      <c r="H142" s="22">
        <v>0</v>
      </c>
      <c r="I142" s="22">
        <v>100</v>
      </c>
      <c r="J142" s="22">
        <v>80</v>
      </c>
      <c r="K142" s="22">
        <v>500</v>
      </c>
      <c r="L142" s="22">
        <v>250</v>
      </c>
      <c r="M142" s="22" t="s">
        <v>804</v>
      </c>
      <c r="N142" s="22" t="s">
        <v>805</v>
      </c>
      <c r="O142" s="22" t="s">
        <v>806</v>
      </c>
    </row>
    <row r="143" spans="1:15" s="22" customFormat="1" x14ac:dyDescent="0.25">
      <c r="A143" s="22">
        <v>140</v>
      </c>
      <c r="B143" s="22">
        <v>2</v>
      </c>
      <c r="C143" s="22">
        <v>3</v>
      </c>
      <c r="D143" s="22" t="str">
        <f>IFERROR(INDEX(FishGroup!$B$4:$B$31,MATCH(B143,FishGroup!$A$4:$A$31,0)),"기타")</f>
        <v>탱</v>
      </c>
      <c r="E143" s="22" t="s">
        <v>692</v>
      </c>
      <c r="F143" s="24">
        <v>1167</v>
      </c>
      <c r="G143" s="22" t="s">
        <v>480</v>
      </c>
      <c r="H143" s="22">
        <v>0</v>
      </c>
      <c r="I143" s="22">
        <v>100</v>
      </c>
      <c r="J143" s="22">
        <v>80</v>
      </c>
      <c r="K143" s="22">
        <v>500</v>
      </c>
      <c r="L143" s="22">
        <v>250</v>
      </c>
      <c r="M143" s="22" t="s">
        <v>807</v>
      </c>
      <c r="N143" s="22" t="s">
        <v>808</v>
      </c>
      <c r="O143" s="22" t="s">
        <v>809</v>
      </c>
    </row>
    <row r="144" spans="1:15" s="22" customFormat="1" x14ac:dyDescent="0.25">
      <c r="A144" s="22">
        <v>141</v>
      </c>
      <c r="B144" s="22">
        <v>2</v>
      </c>
      <c r="C144" s="22">
        <v>3</v>
      </c>
      <c r="D144" s="22" t="str">
        <f>IFERROR(INDEX(FishGroup!$B$4:$B$31,MATCH(B144,FishGroup!$A$4:$A$31,0)),"기타")</f>
        <v>탱</v>
      </c>
      <c r="E144" s="22" t="s">
        <v>693</v>
      </c>
      <c r="F144" s="24">
        <v>1168</v>
      </c>
      <c r="G144" s="22" t="s">
        <v>480</v>
      </c>
      <c r="H144" s="22">
        <v>1</v>
      </c>
      <c r="I144" s="22">
        <v>100</v>
      </c>
      <c r="J144" s="22">
        <v>60</v>
      </c>
      <c r="K144" s="22">
        <v>500</v>
      </c>
      <c r="L144" s="22">
        <v>500</v>
      </c>
      <c r="M144" s="22" t="s">
        <v>810</v>
      </c>
      <c r="N144" s="22" t="s">
        <v>811</v>
      </c>
      <c r="O144" s="22" t="s">
        <v>812</v>
      </c>
    </row>
    <row r="145" spans="1:15" s="22" customFormat="1" x14ac:dyDescent="0.25">
      <c r="A145" s="22">
        <v>142</v>
      </c>
      <c r="B145" s="22">
        <v>2</v>
      </c>
      <c r="C145" s="22">
        <v>3</v>
      </c>
      <c r="D145" s="22" t="str">
        <f>IFERROR(INDEX(FishGroup!$B$4:$B$31,MATCH(B145,FishGroup!$A$4:$A$31,0)),"기타")</f>
        <v>탱</v>
      </c>
      <c r="E145" s="22" t="s">
        <v>694</v>
      </c>
      <c r="F145" s="24">
        <v>1169</v>
      </c>
      <c r="G145" s="22" t="s">
        <v>480</v>
      </c>
      <c r="H145" s="22">
        <v>1</v>
      </c>
      <c r="I145" s="22">
        <v>100</v>
      </c>
      <c r="J145" s="22">
        <v>70</v>
      </c>
      <c r="K145" s="22">
        <v>500</v>
      </c>
      <c r="L145" s="22">
        <v>500</v>
      </c>
      <c r="M145" s="22" t="s">
        <v>813</v>
      </c>
      <c r="N145" s="22" t="s">
        <v>814</v>
      </c>
      <c r="O145" s="22" t="s">
        <v>815</v>
      </c>
    </row>
    <row r="146" spans="1:15" s="22" customFormat="1" ht="16.5" x14ac:dyDescent="0.25">
      <c r="A146" s="22">
        <v>143</v>
      </c>
      <c r="B146" s="22">
        <v>2</v>
      </c>
      <c r="C146" s="22">
        <v>3</v>
      </c>
      <c r="D146" s="22" t="str">
        <f>IFERROR(INDEX(FishGroup!$B$4:$B$31,MATCH(B146,FishGroup!$A$4:$A$31,0)),"기타")</f>
        <v>탱</v>
      </c>
      <c r="E146" s="23" t="s">
        <v>1018</v>
      </c>
      <c r="F146" s="24">
        <v>1170</v>
      </c>
      <c r="G146" s="22" t="s">
        <v>480</v>
      </c>
      <c r="H146" s="22">
        <v>1</v>
      </c>
      <c r="I146" s="22">
        <v>100</v>
      </c>
      <c r="J146" s="22">
        <v>90</v>
      </c>
      <c r="K146" s="22">
        <v>500</v>
      </c>
      <c r="L146" s="22">
        <v>500</v>
      </c>
      <c r="M146" s="22" t="s">
        <v>1027</v>
      </c>
      <c r="N146" s="22" t="s">
        <v>1028</v>
      </c>
      <c r="O146" s="22" t="s">
        <v>1029</v>
      </c>
    </row>
    <row r="147" spans="1:15" s="22" customFormat="1" x14ac:dyDescent="0.25">
      <c r="A147" s="22">
        <v>144</v>
      </c>
      <c r="B147" s="22">
        <v>3</v>
      </c>
      <c r="C147" s="22">
        <v>3</v>
      </c>
      <c r="D147" s="22" t="str">
        <f>IFERROR(INDEX(FishGroup!$B$4:$B$31,MATCH(B147,FishGroup!$A$4:$A$31,0)),"기타")</f>
        <v>담셀</v>
      </c>
      <c r="E147" s="22" t="s">
        <v>695</v>
      </c>
      <c r="F147" s="24">
        <v>1171</v>
      </c>
      <c r="G147" s="22" t="s">
        <v>479</v>
      </c>
      <c r="H147" s="22">
        <v>0</v>
      </c>
      <c r="I147" s="22">
        <v>100</v>
      </c>
      <c r="J147" s="22">
        <v>100</v>
      </c>
      <c r="K147" s="22">
        <v>500</v>
      </c>
      <c r="L147" s="22">
        <v>250</v>
      </c>
      <c r="M147" s="22" t="s">
        <v>816</v>
      </c>
      <c r="N147" s="22" t="s">
        <v>817</v>
      </c>
      <c r="O147" s="22" t="s">
        <v>818</v>
      </c>
    </row>
    <row r="148" spans="1:15" s="22" customFormat="1" x14ac:dyDescent="0.25">
      <c r="A148" s="22">
        <v>145</v>
      </c>
      <c r="B148" s="22">
        <v>3</v>
      </c>
      <c r="C148" s="22">
        <v>3</v>
      </c>
      <c r="D148" s="22" t="str">
        <f>IFERROR(INDEX(FishGroup!$B$4:$B$31,MATCH(B148,FishGroup!$A$4:$A$31,0)),"기타")</f>
        <v>담셀</v>
      </c>
      <c r="E148" s="22" t="s">
        <v>696</v>
      </c>
      <c r="F148" s="24">
        <v>1172</v>
      </c>
      <c r="G148" s="22" t="s">
        <v>479</v>
      </c>
      <c r="H148" s="22">
        <v>0</v>
      </c>
      <c r="I148" s="22">
        <v>100</v>
      </c>
      <c r="J148" s="22">
        <v>100</v>
      </c>
      <c r="K148" s="22">
        <v>500</v>
      </c>
      <c r="L148" s="22">
        <v>250</v>
      </c>
      <c r="M148" s="22" t="s">
        <v>819</v>
      </c>
      <c r="N148" s="22" t="s">
        <v>820</v>
      </c>
      <c r="O148" s="22" t="s">
        <v>821</v>
      </c>
    </row>
    <row r="149" spans="1:15" s="22" customFormat="1" x14ac:dyDescent="0.25">
      <c r="A149" s="22">
        <v>146</v>
      </c>
      <c r="B149" s="22">
        <v>3</v>
      </c>
      <c r="C149" s="22">
        <v>3</v>
      </c>
      <c r="D149" s="22" t="str">
        <f>IFERROR(INDEX(FishGroup!$B$4:$B$31,MATCH(B149,FishGroup!$A$4:$A$31,0)),"기타")</f>
        <v>담셀</v>
      </c>
      <c r="E149" s="22" t="s">
        <v>697</v>
      </c>
      <c r="F149" s="24">
        <v>1173</v>
      </c>
      <c r="G149" s="22" t="s">
        <v>479</v>
      </c>
      <c r="H149" s="22">
        <v>0</v>
      </c>
      <c r="I149" s="22">
        <v>100</v>
      </c>
      <c r="J149" s="22">
        <v>100</v>
      </c>
      <c r="K149" s="22">
        <v>500</v>
      </c>
      <c r="L149" s="22">
        <v>250</v>
      </c>
      <c r="M149" s="22" t="s">
        <v>822</v>
      </c>
      <c r="N149" s="22" t="s">
        <v>823</v>
      </c>
      <c r="O149" s="22" t="s">
        <v>824</v>
      </c>
    </row>
    <row r="150" spans="1:15" s="22" customFormat="1" x14ac:dyDescent="0.25">
      <c r="A150" s="22">
        <v>147</v>
      </c>
      <c r="B150" s="22">
        <v>3</v>
      </c>
      <c r="C150" s="22">
        <v>3</v>
      </c>
      <c r="D150" s="22" t="str">
        <f>IFERROR(INDEX(FishGroup!$B$4:$B$31,MATCH(B150,FishGroup!$A$4:$A$31,0)),"기타")</f>
        <v>담셀</v>
      </c>
      <c r="E150" s="22" t="s">
        <v>698</v>
      </c>
      <c r="F150" s="24">
        <v>1174</v>
      </c>
      <c r="G150" s="22" t="s">
        <v>479</v>
      </c>
      <c r="H150" s="22">
        <v>1</v>
      </c>
      <c r="I150" s="22">
        <v>100</v>
      </c>
      <c r="J150" s="22">
        <v>100</v>
      </c>
      <c r="K150" s="22">
        <v>500</v>
      </c>
      <c r="L150" s="22">
        <v>250</v>
      </c>
      <c r="M150" s="22" t="s">
        <v>825</v>
      </c>
      <c r="N150" s="22" t="s">
        <v>826</v>
      </c>
      <c r="O150" s="22" t="s">
        <v>827</v>
      </c>
    </row>
    <row r="151" spans="1:15" s="22" customFormat="1" x14ac:dyDescent="0.25">
      <c r="A151" s="22">
        <v>148</v>
      </c>
      <c r="B151" s="22">
        <v>3</v>
      </c>
      <c r="C151" s="22">
        <v>3</v>
      </c>
      <c r="D151" s="22" t="str">
        <f>IFERROR(INDEX(FishGroup!$B$4:$B$31,MATCH(B151,FishGroup!$A$4:$A$31,0)),"기타")</f>
        <v>담셀</v>
      </c>
      <c r="E151" s="22" t="s">
        <v>699</v>
      </c>
      <c r="F151" s="24">
        <v>1175</v>
      </c>
      <c r="G151" s="22" t="s">
        <v>479</v>
      </c>
      <c r="H151" s="22">
        <v>1</v>
      </c>
      <c r="I151" s="22">
        <v>100</v>
      </c>
      <c r="J151" s="22">
        <v>100</v>
      </c>
      <c r="K151" s="22">
        <v>500</v>
      </c>
      <c r="L151" s="22">
        <v>250</v>
      </c>
      <c r="M151" s="22" t="s">
        <v>828</v>
      </c>
      <c r="N151" s="22" t="s">
        <v>829</v>
      </c>
      <c r="O151" s="22" t="s">
        <v>830</v>
      </c>
    </row>
    <row r="152" spans="1:15" s="22" customFormat="1" x14ac:dyDescent="0.25">
      <c r="A152" s="22">
        <v>149</v>
      </c>
      <c r="B152" s="22">
        <v>3</v>
      </c>
      <c r="C152" s="22">
        <v>3</v>
      </c>
      <c r="D152" s="22" t="str">
        <f>IFERROR(INDEX(FishGroup!$B$4:$B$31,MATCH(B152,FishGroup!$A$4:$A$31,0)),"기타")</f>
        <v>담셀</v>
      </c>
      <c r="E152" s="26" t="s">
        <v>50</v>
      </c>
      <c r="F152" s="24">
        <v>1176</v>
      </c>
      <c r="G152" s="22" t="s">
        <v>479</v>
      </c>
      <c r="H152" s="22">
        <v>0</v>
      </c>
      <c r="I152" s="22">
        <v>100</v>
      </c>
      <c r="J152" s="22">
        <v>100</v>
      </c>
      <c r="K152" s="22">
        <v>500</v>
      </c>
      <c r="L152" s="22">
        <v>250</v>
      </c>
      <c r="M152" s="22" t="s">
        <v>165</v>
      </c>
      <c r="N152" s="22" t="s">
        <v>283</v>
      </c>
      <c r="O152" s="22" t="s">
        <v>388</v>
      </c>
    </row>
    <row r="153" spans="1:15" s="22" customFormat="1" x14ac:dyDescent="0.25">
      <c r="A153" s="22">
        <v>150</v>
      </c>
      <c r="B153" s="22">
        <v>4</v>
      </c>
      <c r="C153" s="22">
        <v>3</v>
      </c>
      <c r="D153" s="22" t="str">
        <f>IFERROR(INDEX(FishGroup!$B$4:$B$31,MATCH(B153,FishGroup!$A$4:$A$31,0)),"기타")</f>
        <v>앤젤</v>
      </c>
      <c r="E153" s="22" t="s">
        <v>700</v>
      </c>
      <c r="F153" s="24">
        <v>1177</v>
      </c>
      <c r="G153" s="22" t="s">
        <v>481</v>
      </c>
      <c r="H153" s="22">
        <v>0</v>
      </c>
      <c r="I153" s="22">
        <v>100</v>
      </c>
      <c r="J153" s="22">
        <v>90</v>
      </c>
      <c r="K153" s="22">
        <v>500</v>
      </c>
      <c r="L153" s="22">
        <v>250</v>
      </c>
      <c r="M153" s="22" t="s">
        <v>831</v>
      </c>
      <c r="N153" s="22" t="s">
        <v>832</v>
      </c>
      <c r="O153" s="22" t="s">
        <v>833</v>
      </c>
    </row>
    <row r="154" spans="1:15" s="22" customFormat="1" x14ac:dyDescent="0.25">
      <c r="A154" s="22">
        <v>151</v>
      </c>
      <c r="B154" s="22">
        <v>4</v>
      </c>
      <c r="C154" s="22">
        <v>3</v>
      </c>
      <c r="D154" s="22" t="str">
        <f>IFERROR(INDEX(FishGroup!$B$4:$B$31,MATCH(B154,FishGroup!$A$4:$A$31,0)),"기타")</f>
        <v>앤젤</v>
      </c>
      <c r="E154" s="22" t="s">
        <v>701</v>
      </c>
      <c r="F154" s="24">
        <v>1178</v>
      </c>
      <c r="G154" s="22" t="s">
        <v>482</v>
      </c>
      <c r="H154" s="22">
        <v>0</v>
      </c>
      <c r="I154" s="22">
        <v>100</v>
      </c>
      <c r="J154" s="22">
        <v>110</v>
      </c>
      <c r="K154" s="22">
        <v>500</v>
      </c>
      <c r="L154" s="22">
        <v>250</v>
      </c>
      <c r="M154" s="22" t="s">
        <v>834</v>
      </c>
      <c r="N154" s="22" t="s">
        <v>835</v>
      </c>
      <c r="O154" s="22" t="s">
        <v>836</v>
      </c>
    </row>
    <row r="155" spans="1:15" s="22" customFormat="1" x14ac:dyDescent="0.25">
      <c r="A155" s="22">
        <v>152</v>
      </c>
      <c r="B155" s="22">
        <v>4</v>
      </c>
      <c r="C155" s="22">
        <v>3</v>
      </c>
      <c r="D155" s="22" t="str">
        <f>IFERROR(INDEX(FishGroup!$B$4:$B$31,MATCH(B155,FishGroup!$A$4:$A$31,0)),"기타")</f>
        <v>앤젤</v>
      </c>
      <c r="E155" s="22" t="s">
        <v>702</v>
      </c>
      <c r="F155" s="24">
        <v>1179</v>
      </c>
      <c r="G155" s="22" t="s">
        <v>482</v>
      </c>
      <c r="H155" s="22">
        <v>1</v>
      </c>
      <c r="I155" s="22">
        <v>100</v>
      </c>
      <c r="J155" s="22">
        <v>90</v>
      </c>
      <c r="K155" s="22">
        <v>500</v>
      </c>
      <c r="L155" s="22">
        <v>250</v>
      </c>
      <c r="M155" s="22" t="s">
        <v>837</v>
      </c>
      <c r="N155" s="22" t="s">
        <v>838</v>
      </c>
      <c r="O155" s="22" t="s">
        <v>839</v>
      </c>
    </row>
    <row r="156" spans="1:15" s="22" customFormat="1" x14ac:dyDescent="0.25">
      <c r="A156" s="22">
        <v>153</v>
      </c>
      <c r="B156" s="22">
        <v>4</v>
      </c>
      <c r="C156" s="22">
        <v>3</v>
      </c>
      <c r="D156" s="22" t="str">
        <f>IFERROR(INDEX(FishGroup!$B$4:$B$31,MATCH(B156,FishGroup!$A$4:$A$31,0)),"기타")</f>
        <v>앤젤</v>
      </c>
      <c r="E156" s="22" t="s">
        <v>703</v>
      </c>
      <c r="F156" s="24">
        <v>1180</v>
      </c>
      <c r="G156" s="22" t="s">
        <v>480</v>
      </c>
      <c r="H156" s="22">
        <v>0</v>
      </c>
      <c r="I156" s="22">
        <v>100</v>
      </c>
      <c r="J156" s="22">
        <v>50</v>
      </c>
      <c r="K156" s="22">
        <v>500</v>
      </c>
      <c r="L156" s="22">
        <v>250</v>
      </c>
      <c r="M156" s="22" t="s">
        <v>840</v>
      </c>
      <c r="N156" s="22" t="s">
        <v>841</v>
      </c>
      <c r="O156" s="22" t="s">
        <v>842</v>
      </c>
    </row>
    <row r="157" spans="1:15" s="22" customFormat="1" x14ac:dyDescent="0.25">
      <c r="A157" s="22">
        <v>154</v>
      </c>
      <c r="B157" s="22">
        <v>4</v>
      </c>
      <c r="C157" s="22">
        <v>3</v>
      </c>
      <c r="D157" s="22" t="str">
        <f>IFERROR(INDEX(FishGroup!$B$4:$B$31,MATCH(B157,FishGroup!$A$4:$A$31,0)),"기타")</f>
        <v>앤젤</v>
      </c>
      <c r="E157" s="22" t="s">
        <v>704</v>
      </c>
      <c r="F157" s="24">
        <v>1181</v>
      </c>
      <c r="G157" s="22" t="s">
        <v>481</v>
      </c>
      <c r="H157" s="22">
        <v>1</v>
      </c>
      <c r="I157" s="22">
        <v>100</v>
      </c>
      <c r="J157" s="22">
        <v>70</v>
      </c>
      <c r="K157" s="22">
        <v>500</v>
      </c>
      <c r="L157" s="22">
        <v>250</v>
      </c>
      <c r="M157" s="22" t="s">
        <v>843</v>
      </c>
      <c r="N157" s="22" t="s">
        <v>844</v>
      </c>
      <c r="O157" s="22" t="s">
        <v>845</v>
      </c>
    </row>
    <row r="158" spans="1:15" s="22" customFormat="1" x14ac:dyDescent="0.25">
      <c r="A158" s="22">
        <v>155</v>
      </c>
      <c r="B158" s="22">
        <v>4</v>
      </c>
      <c r="C158" s="22">
        <v>3</v>
      </c>
      <c r="D158" s="22" t="str">
        <f>IFERROR(INDEX(FishGroup!$B$4:$B$31,MATCH(B158,FishGroup!$A$4:$A$31,0)),"기타")</f>
        <v>앤젤</v>
      </c>
      <c r="E158" s="22" t="s">
        <v>705</v>
      </c>
      <c r="F158" s="24">
        <v>1182</v>
      </c>
      <c r="G158" s="22" t="s">
        <v>480</v>
      </c>
      <c r="H158" s="22">
        <v>1</v>
      </c>
      <c r="I158" s="22">
        <v>100</v>
      </c>
      <c r="J158" s="22">
        <v>50</v>
      </c>
      <c r="K158" s="22">
        <v>500</v>
      </c>
      <c r="L158" s="22">
        <v>500</v>
      </c>
      <c r="M158" s="22" t="s">
        <v>846</v>
      </c>
      <c r="N158" s="22" t="s">
        <v>847</v>
      </c>
      <c r="O158" s="22" t="s">
        <v>848</v>
      </c>
    </row>
    <row r="159" spans="1:15" s="22" customFormat="1" x14ac:dyDescent="0.25">
      <c r="A159" s="22">
        <v>156</v>
      </c>
      <c r="B159" s="22">
        <v>15</v>
      </c>
      <c r="C159" s="22">
        <v>3</v>
      </c>
      <c r="D159" s="22" t="str">
        <f>IFERROR(INDEX(FishGroup!$B$4:$B$31,MATCH(B159,FishGroup!$A$4:$A$31,0)),"기타")</f>
        <v>상어</v>
      </c>
      <c r="E159" s="22" t="s">
        <v>706</v>
      </c>
      <c r="F159" s="24">
        <v>1183</v>
      </c>
      <c r="G159" s="22" t="s">
        <v>493</v>
      </c>
      <c r="H159" s="22">
        <v>1</v>
      </c>
      <c r="I159" s="22">
        <v>50</v>
      </c>
      <c r="J159" s="22">
        <v>16</v>
      </c>
      <c r="K159" s="22">
        <v>1000</v>
      </c>
      <c r="L159" s="22">
        <v>500</v>
      </c>
      <c r="M159" s="22" t="s">
        <v>849</v>
      </c>
      <c r="N159" s="22" t="s">
        <v>850</v>
      </c>
      <c r="O159" s="22" t="s">
        <v>851</v>
      </c>
    </row>
    <row r="160" spans="1:15" s="22" customFormat="1" x14ac:dyDescent="0.25">
      <c r="A160" s="22">
        <v>157</v>
      </c>
      <c r="B160" s="22">
        <v>15</v>
      </c>
      <c r="C160" s="22">
        <v>3</v>
      </c>
      <c r="D160" s="22" t="str">
        <f>IFERROR(INDEX(FishGroup!$B$4:$B$31,MATCH(B160,FishGroup!$A$4:$A$31,0)),"기타")</f>
        <v>상어</v>
      </c>
      <c r="E160" s="22" t="s">
        <v>707</v>
      </c>
      <c r="F160" s="24">
        <v>1184</v>
      </c>
      <c r="G160" s="22" t="s">
        <v>493</v>
      </c>
      <c r="H160" s="22">
        <v>0</v>
      </c>
      <c r="I160" s="22">
        <v>100</v>
      </c>
      <c r="J160" s="22">
        <v>15</v>
      </c>
      <c r="K160" s="22">
        <v>600</v>
      </c>
      <c r="L160" s="22">
        <v>400</v>
      </c>
      <c r="M160" s="22" t="s">
        <v>852</v>
      </c>
      <c r="N160" s="22" t="s">
        <v>853</v>
      </c>
      <c r="O160" s="22" t="s">
        <v>854</v>
      </c>
    </row>
    <row r="161" spans="1:15" s="22" customFormat="1" x14ac:dyDescent="0.25">
      <c r="A161" s="22">
        <v>158</v>
      </c>
      <c r="B161" s="22">
        <v>15</v>
      </c>
      <c r="C161" s="22">
        <v>3</v>
      </c>
      <c r="D161" s="22" t="str">
        <f>IFERROR(INDEX(FishGroup!$B$4:$B$31,MATCH(B161,FishGroup!$A$4:$A$31,0)),"기타")</f>
        <v>상어</v>
      </c>
      <c r="E161" s="22" t="s">
        <v>708</v>
      </c>
      <c r="F161" s="24">
        <v>1185</v>
      </c>
      <c r="G161" s="22" t="s">
        <v>493</v>
      </c>
      <c r="H161" s="22">
        <v>0</v>
      </c>
      <c r="I161" s="22">
        <v>100</v>
      </c>
      <c r="J161" s="22">
        <v>40</v>
      </c>
      <c r="K161" s="22">
        <v>500</v>
      </c>
      <c r="L161" s="22">
        <v>300</v>
      </c>
      <c r="M161" s="22" t="s">
        <v>855</v>
      </c>
      <c r="N161" s="22" t="s">
        <v>856</v>
      </c>
      <c r="O161" s="22" t="s">
        <v>857</v>
      </c>
    </row>
    <row r="162" spans="1:15" s="22" customFormat="1" x14ac:dyDescent="0.25">
      <c r="A162" s="22">
        <v>159</v>
      </c>
      <c r="B162" s="22">
        <v>15</v>
      </c>
      <c r="C162" s="22">
        <v>3</v>
      </c>
      <c r="D162" s="22" t="str">
        <f>IFERROR(INDEX(FishGroup!$B$4:$B$31,MATCH(B162,FishGroup!$A$4:$A$31,0)),"기타")</f>
        <v>상어</v>
      </c>
      <c r="E162" s="22" t="s">
        <v>709</v>
      </c>
      <c r="F162" s="24">
        <v>1186</v>
      </c>
      <c r="G162" s="22" t="s">
        <v>493</v>
      </c>
      <c r="H162" s="22">
        <v>1</v>
      </c>
      <c r="I162" s="22">
        <v>50</v>
      </c>
      <c r="J162" s="22">
        <v>30</v>
      </c>
      <c r="K162" s="22">
        <v>1000</v>
      </c>
      <c r="L162" s="22">
        <v>500</v>
      </c>
      <c r="M162" s="22" t="s">
        <v>858</v>
      </c>
      <c r="N162" s="22" t="s">
        <v>859</v>
      </c>
      <c r="O162" s="22" t="s">
        <v>860</v>
      </c>
    </row>
    <row r="163" spans="1:15" s="22" customFormat="1" x14ac:dyDescent="0.25">
      <c r="A163" s="22">
        <v>160</v>
      </c>
      <c r="B163" s="22">
        <v>15</v>
      </c>
      <c r="C163" s="22">
        <v>3</v>
      </c>
      <c r="D163" s="22" t="str">
        <f>IFERROR(INDEX(FishGroup!$B$4:$B$31,MATCH(B163,FishGroup!$A$4:$A$31,0)),"기타")</f>
        <v>상어</v>
      </c>
      <c r="E163" s="22" t="s">
        <v>710</v>
      </c>
      <c r="F163" s="24">
        <v>1187</v>
      </c>
      <c r="G163" s="22" t="s">
        <v>493</v>
      </c>
      <c r="H163" s="22">
        <v>0</v>
      </c>
      <c r="I163" s="22">
        <v>50</v>
      </c>
      <c r="J163" s="22">
        <v>35</v>
      </c>
      <c r="K163" s="22">
        <v>1000</v>
      </c>
      <c r="L163" s="22">
        <v>500</v>
      </c>
      <c r="M163" s="22" t="s">
        <v>861</v>
      </c>
      <c r="N163" s="22" t="s">
        <v>862</v>
      </c>
      <c r="O163" s="22" t="s">
        <v>863</v>
      </c>
    </row>
    <row r="164" spans="1:15" s="22" customFormat="1" x14ac:dyDescent="0.25">
      <c r="A164" s="22">
        <v>161</v>
      </c>
      <c r="B164" s="22">
        <v>15</v>
      </c>
      <c r="C164" s="22">
        <v>3</v>
      </c>
      <c r="D164" s="22" t="str">
        <f>IFERROR(INDEX(FishGroup!$B$4:$B$31,MATCH(B164,FishGroup!$A$4:$A$31,0)),"기타")</f>
        <v>상어</v>
      </c>
      <c r="E164" s="22" t="s">
        <v>711</v>
      </c>
      <c r="F164" s="24">
        <v>1188</v>
      </c>
      <c r="G164" s="22" t="s">
        <v>484</v>
      </c>
      <c r="H164" s="22">
        <v>1</v>
      </c>
      <c r="I164" s="22">
        <v>40</v>
      </c>
      <c r="J164" s="22">
        <v>25</v>
      </c>
      <c r="K164" s="22">
        <v>500</v>
      </c>
      <c r="L164" s="22">
        <v>500</v>
      </c>
      <c r="M164" s="22" t="s">
        <v>864</v>
      </c>
      <c r="N164" s="22" t="s">
        <v>865</v>
      </c>
      <c r="O164" s="22" t="s">
        <v>866</v>
      </c>
    </row>
    <row r="165" spans="1:15" s="22" customFormat="1" ht="16.5" x14ac:dyDescent="0.25">
      <c r="A165" s="22">
        <v>162</v>
      </c>
      <c r="B165" s="22">
        <v>15</v>
      </c>
      <c r="C165" s="22">
        <v>3</v>
      </c>
      <c r="D165" s="22" t="str">
        <f>IFERROR(INDEX(FishGroup!$B$4:$B$31,MATCH(B165,FishGroup!$A$4:$A$31,0)),"기타")</f>
        <v>상어</v>
      </c>
      <c r="E165" s="23" t="s">
        <v>1019</v>
      </c>
      <c r="F165" s="24">
        <v>1189</v>
      </c>
      <c r="G165" s="22" t="s">
        <v>481</v>
      </c>
      <c r="H165" s="22">
        <v>0</v>
      </c>
      <c r="I165" s="22">
        <v>100</v>
      </c>
      <c r="J165" s="22">
        <v>58</v>
      </c>
      <c r="K165" s="22">
        <v>500</v>
      </c>
      <c r="L165" s="22">
        <v>250</v>
      </c>
      <c r="M165" s="22" t="s">
        <v>1030</v>
      </c>
      <c r="N165" s="22" t="s">
        <v>1031</v>
      </c>
      <c r="O165" s="22" t="s">
        <v>1032</v>
      </c>
    </row>
    <row r="166" spans="1:15" s="22" customFormat="1" x14ac:dyDescent="0.25">
      <c r="A166" s="22">
        <v>163</v>
      </c>
      <c r="B166" s="22">
        <v>7</v>
      </c>
      <c r="C166" s="22">
        <v>3</v>
      </c>
      <c r="D166" s="22" t="str">
        <f>IFERROR(INDEX(FishGroup!$B$4:$B$31,MATCH(B166,FishGroup!$A$4:$A$31,0)),"기타")</f>
        <v>나비</v>
      </c>
      <c r="E166" s="22" t="s">
        <v>712</v>
      </c>
      <c r="F166" s="24">
        <v>1190</v>
      </c>
      <c r="G166" s="22" t="s">
        <v>483</v>
      </c>
      <c r="H166" s="22">
        <v>1</v>
      </c>
      <c r="I166" s="22">
        <v>50</v>
      </c>
      <c r="J166" s="22">
        <v>65</v>
      </c>
      <c r="K166" s="22">
        <v>500</v>
      </c>
      <c r="L166" s="22">
        <v>500</v>
      </c>
      <c r="M166" s="22" t="s">
        <v>867</v>
      </c>
      <c r="N166" s="22" t="s">
        <v>868</v>
      </c>
      <c r="O166" s="22" t="s">
        <v>869</v>
      </c>
    </row>
    <row r="167" spans="1:15" s="22" customFormat="1" x14ac:dyDescent="0.25">
      <c r="A167" s="22">
        <v>164</v>
      </c>
      <c r="B167" s="22">
        <v>7</v>
      </c>
      <c r="C167" s="22">
        <v>3</v>
      </c>
      <c r="D167" s="22" t="str">
        <f>IFERROR(INDEX(FishGroup!$B$4:$B$31,MATCH(B167,FishGroup!$A$4:$A$31,0)),"기타")</f>
        <v>나비</v>
      </c>
      <c r="E167" s="22" t="s">
        <v>713</v>
      </c>
      <c r="F167" s="24">
        <v>1191</v>
      </c>
      <c r="G167" s="22" t="s">
        <v>483</v>
      </c>
      <c r="H167" s="22">
        <v>0</v>
      </c>
      <c r="I167" s="22">
        <v>50</v>
      </c>
      <c r="J167" s="22">
        <v>60</v>
      </c>
      <c r="K167" s="22">
        <v>500</v>
      </c>
      <c r="L167" s="22">
        <v>500</v>
      </c>
      <c r="M167" s="22" t="s">
        <v>870</v>
      </c>
      <c r="N167" s="22" t="s">
        <v>871</v>
      </c>
      <c r="O167" s="22" t="s">
        <v>872</v>
      </c>
    </row>
    <row r="168" spans="1:15" s="22" customFormat="1" x14ac:dyDescent="0.25">
      <c r="A168" s="22">
        <v>165</v>
      </c>
      <c r="B168" s="22">
        <v>7</v>
      </c>
      <c r="C168" s="22">
        <v>3</v>
      </c>
      <c r="D168" s="22" t="str">
        <f>IFERROR(INDEX(FishGroup!$B$4:$B$31,MATCH(B168,FishGroup!$A$4:$A$31,0)),"기타")</f>
        <v>나비</v>
      </c>
      <c r="E168" s="22" t="s">
        <v>714</v>
      </c>
      <c r="F168" s="24">
        <v>1192</v>
      </c>
      <c r="G168" s="22" t="s">
        <v>483</v>
      </c>
      <c r="H168" s="22">
        <v>0</v>
      </c>
      <c r="I168" s="22">
        <v>100</v>
      </c>
      <c r="J168" s="22">
        <v>55</v>
      </c>
      <c r="K168" s="22">
        <v>500</v>
      </c>
      <c r="L168" s="22">
        <v>250</v>
      </c>
      <c r="M168" s="22" t="s">
        <v>873</v>
      </c>
      <c r="N168" s="22" t="s">
        <v>874</v>
      </c>
      <c r="O168" s="22" t="s">
        <v>875</v>
      </c>
    </row>
    <row r="169" spans="1:15" s="22" customFormat="1" x14ac:dyDescent="0.25">
      <c r="A169" s="22">
        <v>166</v>
      </c>
      <c r="B169" s="22">
        <v>7</v>
      </c>
      <c r="C169" s="22">
        <v>3</v>
      </c>
      <c r="D169" s="22" t="str">
        <f>IFERROR(INDEX(FishGroup!$B$4:$B$31,MATCH(B169,FishGroup!$A$4:$A$31,0)),"기타")</f>
        <v>나비</v>
      </c>
      <c r="E169" s="22" t="s">
        <v>715</v>
      </c>
      <c r="F169" s="24">
        <v>1193</v>
      </c>
      <c r="G169" s="22" t="s">
        <v>483</v>
      </c>
      <c r="H169" s="22">
        <v>0</v>
      </c>
      <c r="I169" s="22">
        <v>100</v>
      </c>
      <c r="J169" s="22">
        <v>56</v>
      </c>
      <c r="K169" s="22">
        <v>500</v>
      </c>
      <c r="L169" s="22">
        <v>250</v>
      </c>
      <c r="M169" s="22" t="s">
        <v>876</v>
      </c>
      <c r="N169" s="22" t="s">
        <v>877</v>
      </c>
      <c r="O169" s="22" t="s">
        <v>878</v>
      </c>
    </row>
    <row r="170" spans="1:15" s="22" customFormat="1" x14ac:dyDescent="0.25">
      <c r="A170" s="22">
        <v>167</v>
      </c>
      <c r="B170" s="22">
        <v>7</v>
      </c>
      <c r="C170" s="22">
        <v>3</v>
      </c>
      <c r="D170" s="22" t="str">
        <f>IFERROR(INDEX(FishGroup!$B$4:$B$31,MATCH(B170,FishGroup!$A$4:$A$31,0)),"기타")</f>
        <v>나비</v>
      </c>
      <c r="E170" s="22" t="s">
        <v>716</v>
      </c>
      <c r="F170" s="24">
        <v>1194</v>
      </c>
      <c r="G170" s="22" t="s">
        <v>483</v>
      </c>
      <c r="H170" s="22">
        <v>0</v>
      </c>
      <c r="I170" s="22">
        <v>100</v>
      </c>
      <c r="J170" s="22">
        <v>70</v>
      </c>
      <c r="K170" s="22">
        <v>500</v>
      </c>
      <c r="L170" s="22">
        <v>250</v>
      </c>
      <c r="M170" s="22" t="s">
        <v>879</v>
      </c>
      <c r="N170" s="22" t="s">
        <v>880</v>
      </c>
      <c r="O170" s="22" t="s">
        <v>881</v>
      </c>
    </row>
    <row r="171" spans="1:15" s="22" customFormat="1" x14ac:dyDescent="0.25">
      <c r="A171" s="22">
        <v>168</v>
      </c>
      <c r="B171" s="22">
        <v>7</v>
      </c>
      <c r="C171" s="22">
        <v>3</v>
      </c>
      <c r="D171" s="22" t="str">
        <f>IFERROR(INDEX(FishGroup!$B$4:$B$31,MATCH(B171,FishGroup!$A$4:$A$31,0)),"기타")</f>
        <v>나비</v>
      </c>
      <c r="E171" s="22" t="s">
        <v>717</v>
      </c>
      <c r="F171" s="24">
        <v>1195</v>
      </c>
      <c r="G171" s="22" t="s">
        <v>483</v>
      </c>
      <c r="H171" s="22">
        <v>0</v>
      </c>
      <c r="I171" s="22">
        <v>100</v>
      </c>
      <c r="J171" s="22">
        <v>70</v>
      </c>
      <c r="K171" s="22">
        <v>500</v>
      </c>
      <c r="L171" s="22">
        <v>250</v>
      </c>
      <c r="M171" s="22" t="s">
        <v>882</v>
      </c>
      <c r="N171" s="22" t="s">
        <v>883</v>
      </c>
      <c r="O171" s="22" t="s">
        <v>884</v>
      </c>
    </row>
    <row r="172" spans="1:15" s="22" customFormat="1" ht="16.5" x14ac:dyDescent="0.25">
      <c r="A172" s="22">
        <v>169</v>
      </c>
      <c r="B172" s="22">
        <v>7</v>
      </c>
      <c r="C172" s="22">
        <v>3</v>
      </c>
      <c r="D172" s="22" t="str">
        <f>IFERROR(INDEX(FishGroup!$B$4:$B$31,MATCH(B172,FishGroup!$A$4:$A$31,0)),"기타")</f>
        <v>나비</v>
      </c>
      <c r="E172" s="23" t="s">
        <v>1020</v>
      </c>
      <c r="F172" s="24">
        <v>1196</v>
      </c>
      <c r="G172" s="22" t="s">
        <v>483</v>
      </c>
      <c r="H172" s="22">
        <v>1</v>
      </c>
      <c r="I172" s="22">
        <v>100</v>
      </c>
      <c r="J172" s="22">
        <v>90</v>
      </c>
      <c r="K172" s="22">
        <v>500</v>
      </c>
      <c r="L172" s="22">
        <v>500</v>
      </c>
      <c r="M172" s="22" t="s">
        <v>1033</v>
      </c>
      <c r="N172" s="22" t="s">
        <v>1034</v>
      </c>
      <c r="O172" s="22" t="s">
        <v>1035</v>
      </c>
    </row>
    <row r="173" spans="1:15" s="22" customFormat="1" x14ac:dyDescent="0.25">
      <c r="A173" s="22">
        <v>170</v>
      </c>
      <c r="B173" s="22">
        <v>8</v>
      </c>
      <c r="C173" s="22">
        <v>3</v>
      </c>
      <c r="D173" s="22" t="str">
        <f>IFERROR(INDEX(FishGroup!$B$4:$B$31,MATCH(B173,FishGroup!$A$4:$A$31,0)),"기타")</f>
        <v>패럿피쉬</v>
      </c>
      <c r="E173" s="22" t="s">
        <v>718</v>
      </c>
      <c r="F173" s="24">
        <v>1197</v>
      </c>
      <c r="G173" s="22" t="s">
        <v>484</v>
      </c>
      <c r="H173" s="22">
        <v>1</v>
      </c>
      <c r="I173" s="22">
        <v>55.000000000000007</v>
      </c>
      <c r="J173" s="22">
        <v>50</v>
      </c>
      <c r="K173" s="22">
        <v>700</v>
      </c>
      <c r="L173" s="22">
        <v>400</v>
      </c>
      <c r="M173" s="22" t="s">
        <v>885</v>
      </c>
      <c r="N173" s="22" t="s">
        <v>886</v>
      </c>
      <c r="O173" s="22" t="s">
        <v>887</v>
      </c>
    </row>
    <row r="174" spans="1:15" s="22" customFormat="1" x14ac:dyDescent="0.25">
      <c r="A174" s="22">
        <v>171</v>
      </c>
      <c r="B174" s="22">
        <v>8</v>
      </c>
      <c r="C174" s="22">
        <v>3</v>
      </c>
      <c r="D174" s="22" t="str">
        <f>IFERROR(INDEX(FishGroup!$B$4:$B$31,MATCH(B174,FishGroup!$A$4:$A$31,0)),"기타")</f>
        <v>패럿피쉬</v>
      </c>
      <c r="E174" s="22" t="s">
        <v>719</v>
      </c>
      <c r="F174" s="24">
        <v>1198</v>
      </c>
      <c r="G174" s="22" t="s">
        <v>481</v>
      </c>
      <c r="H174" s="22">
        <v>0</v>
      </c>
      <c r="I174" s="22">
        <v>100</v>
      </c>
      <c r="J174" s="22">
        <v>55</v>
      </c>
      <c r="K174" s="22">
        <v>500</v>
      </c>
      <c r="L174" s="22">
        <v>250</v>
      </c>
      <c r="M174" s="22" t="s">
        <v>888</v>
      </c>
      <c r="N174" s="22" t="s">
        <v>889</v>
      </c>
      <c r="O174" s="22" t="s">
        <v>890</v>
      </c>
    </row>
    <row r="175" spans="1:15" s="22" customFormat="1" x14ac:dyDescent="0.25">
      <c r="A175" s="22">
        <v>172</v>
      </c>
      <c r="B175" s="22">
        <v>8</v>
      </c>
      <c r="C175" s="22">
        <v>3</v>
      </c>
      <c r="D175" s="22" t="str">
        <f>IFERROR(INDEX(FishGroup!$B$4:$B$31,MATCH(B175,FishGroup!$A$4:$A$31,0)),"기타")</f>
        <v>패럿피쉬</v>
      </c>
      <c r="E175" s="22" t="s">
        <v>720</v>
      </c>
      <c r="F175" s="24">
        <v>1199</v>
      </c>
      <c r="G175" s="22" t="s">
        <v>484</v>
      </c>
      <c r="H175" s="22">
        <v>1</v>
      </c>
      <c r="I175" s="22">
        <v>33</v>
      </c>
      <c r="J175" s="22">
        <v>25</v>
      </c>
      <c r="K175" s="22">
        <v>500</v>
      </c>
      <c r="L175" s="22">
        <v>250</v>
      </c>
      <c r="M175" s="22" t="s">
        <v>891</v>
      </c>
      <c r="N175" s="22" t="s">
        <v>892</v>
      </c>
      <c r="O175" s="22" t="s">
        <v>893</v>
      </c>
    </row>
    <row r="176" spans="1:15" s="22" customFormat="1" x14ac:dyDescent="0.25">
      <c r="A176" s="22">
        <v>173</v>
      </c>
      <c r="B176" s="22">
        <v>8</v>
      </c>
      <c r="C176" s="22">
        <v>3</v>
      </c>
      <c r="D176" s="22" t="str">
        <f>IFERROR(INDEX(FishGroup!$B$4:$B$31,MATCH(B176,FishGroup!$A$4:$A$31,0)),"기타")</f>
        <v>패럿피쉬</v>
      </c>
      <c r="E176" s="22" t="s">
        <v>721</v>
      </c>
      <c r="F176" s="24">
        <v>1200</v>
      </c>
      <c r="G176" s="22" t="s">
        <v>483</v>
      </c>
      <c r="H176" s="22">
        <v>1</v>
      </c>
      <c r="I176" s="22">
        <v>35</v>
      </c>
      <c r="J176" s="22">
        <v>30</v>
      </c>
      <c r="K176" s="22">
        <v>500</v>
      </c>
      <c r="L176" s="22">
        <v>250</v>
      </c>
      <c r="M176" s="22" t="s">
        <v>894</v>
      </c>
      <c r="N176" s="22" t="s">
        <v>895</v>
      </c>
      <c r="O176" s="22" t="s">
        <v>896</v>
      </c>
    </row>
    <row r="177" spans="1:15" s="22" customFormat="1" x14ac:dyDescent="0.25">
      <c r="A177" s="22">
        <v>174</v>
      </c>
      <c r="B177" s="22">
        <v>8</v>
      </c>
      <c r="C177" s="22">
        <v>3</v>
      </c>
      <c r="D177" s="22" t="str">
        <f>IFERROR(INDEX(FishGroup!$B$4:$B$31,MATCH(B177,FishGroup!$A$4:$A$31,0)),"기타")</f>
        <v>패럿피쉬</v>
      </c>
      <c r="E177" s="22" t="s">
        <v>722</v>
      </c>
      <c r="F177" s="24">
        <v>1201</v>
      </c>
      <c r="G177" s="22" t="s">
        <v>488</v>
      </c>
      <c r="H177" s="22">
        <v>0</v>
      </c>
      <c r="I177" s="22">
        <v>100</v>
      </c>
      <c r="J177" s="22">
        <v>40</v>
      </c>
      <c r="K177" s="22">
        <v>600</v>
      </c>
      <c r="L177" s="22">
        <v>400</v>
      </c>
      <c r="M177" s="22" t="s">
        <v>897</v>
      </c>
      <c r="N177" s="22" t="s">
        <v>898</v>
      </c>
      <c r="O177" s="22" t="s">
        <v>899</v>
      </c>
    </row>
    <row r="178" spans="1:15" s="22" customFormat="1" x14ac:dyDescent="0.25">
      <c r="A178" s="22">
        <v>175</v>
      </c>
      <c r="B178" s="22">
        <v>8</v>
      </c>
      <c r="C178" s="22">
        <v>3</v>
      </c>
      <c r="D178" s="22" t="str">
        <f>IFERROR(INDEX(FishGroup!$B$4:$B$31,MATCH(B178,FishGroup!$A$4:$A$31,0)),"기타")</f>
        <v>패럿피쉬</v>
      </c>
      <c r="E178" s="22" t="s">
        <v>723</v>
      </c>
      <c r="F178" s="24">
        <v>1202</v>
      </c>
      <c r="G178" s="22" t="s">
        <v>481</v>
      </c>
      <c r="H178" s="22">
        <v>1</v>
      </c>
      <c r="I178" s="22">
        <v>100</v>
      </c>
      <c r="J178" s="22">
        <v>50</v>
      </c>
      <c r="K178" s="22">
        <v>500</v>
      </c>
      <c r="L178" s="22">
        <v>500</v>
      </c>
      <c r="M178" s="22" t="s">
        <v>900</v>
      </c>
      <c r="N178" s="22" t="s">
        <v>901</v>
      </c>
      <c r="O178" s="22" t="s">
        <v>902</v>
      </c>
    </row>
    <row r="179" spans="1:15" s="22" customFormat="1" x14ac:dyDescent="0.25">
      <c r="A179" s="22">
        <v>176</v>
      </c>
      <c r="B179" s="22">
        <v>9</v>
      </c>
      <c r="C179" s="22">
        <v>3</v>
      </c>
      <c r="D179" s="22" t="str">
        <f>IFERROR(INDEX(FishGroup!$B$4:$B$31,MATCH(B179,FishGroup!$A$4:$A$31,0)),"기타")</f>
        <v>복어</v>
      </c>
      <c r="E179" s="22" t="s">
        <v>724</v>
      </c>
      <c r="F179" s="24">
        <v>1203</v>
      </c>
      <c r="G179" s="22" t="s">
        <v>484</v>
      </c>
      <c r="H179" s="22">
        <v>0</v>
      </c>
      <c r="I179" s="22">
        <v>100</v>
      </c>
      <c r="J179" s="22">
        <v>78</v>
      </c>
      <c r="K179" s="22">
        <v>500</v>
      </c>
      <c r="L179" s="22">
        <v>250</v>
      </c>
      <c r="M179" s="22" t="s">
        <v>903</v>
      </c>
      <c r="N179" s="22" t="s">
        <v>904</v>
      </c>
      <c r="O179" s="22" t="s">
        <v>905</v>
      </c>
    </row>
    <row r="180" spans="1:15" s="22" customFormat="1" x14ac:dyDescent="0.25">
      <c r="A180" s="22">
        <v>177</v>
      </c>
      <c r="B180" s="22">
        <v>9</v>
      </c>
      <c r="C180" s="22">
        <v>3</v>
      </c>
      <c r="D180" s="22" t="str">
        <f>IFERROR(INDEX(FishGroup!$B$4:$B$31,MATCH(B180,FishGroup!$A$4:$A$31,0)),"기타")</f>
        <v>복어</v>
      </c>
      <c r="E180" s="22" t="s">
        <v>725</v>
      </c>
      <c r="F180" s="24">
        <v>1204</v>
      </c>
      <c r="G180" s="22" t="s">
        <v>484</v>
      </c>
      <c r="H180" s="22">
        <v>0</v>
      </c>
      <c r="I180" s="22">
        <v>100</v>
      </c>
      <c r="J180" s="22">
        <v>65</v>
      </c>
      <c r="K180" s="22">
        <v>500</v>
      </c>
      <c r="L180" s="22">
        <v>250</v>
      </c>
      <c r="M180" s="22" t="s">
        <v>906</v>
      </c>
      <c r="N180" s="22" t="s">
        <v>907</v>
      </c>
      <c r="O180" s="22" t="s">
        <v>908</v>
      </c>
    </row>
    <row r="181" spans="1:15" s="22" customFormat="1" x14ac:dyDescent="0.25">
      <c r="A181" s="22">
        <v>178</v>
      </c>
      <c r="B181" s="22">
        <v>9</v>
      </c>
      <c r="C181" s="22">
        <v>3</v>
      </c>
      <c r="D181" s="22" t="str">
        <f>IFERROR(INDEX(FishGroup!$B$4:$B$31,MATCH(B181,FishGroup!$A$4:$A$31,0)),"기타")</f>
        <v>복어</v>
      </c>
      <c r="E181" s="22" t="s">
        <v>726</v>
      </c>
      <c r="F181" s="24">
        <v>1205</v>
      </c>
      <c r="G181" s="22" t="s">
        <v>484</v>
      </c>
      <c r="H181" s="22">
        <v>0</v>
      </c>
      <c r="I181" s="22">
        <v>100</v>
      </c>
      <c r="J181" s="22">
        <v>78</v>
      </c>
      <c r="K181" s="22">
        <v>500</v>
      </c>
      <c r="L181" s="22">
        <v>250</v>
      </c>
      <c r="M181" s="22" t="s">
        <v>909</v>
      </c>
      <c r="N181" s="22" t="s">
        <v>910</v>
      </c>
      <c r="O181" s="22" t="s">
        <v>911</v>
      </c>
    </row>
    <row r="182" spans="1:15" s="22" customFormat="1" x14ac:dyDescent="0.25">
      <c r="A182" s="22">
        <v>179</v>
      </c>
      <c r="B182" s="22">
        <v>9</v>
      </c>
      <c r="C182" s="22">
        <v>3</v>
      </c>
      <c r="D182" s="22" t="str">
        <f>IFERROR(INDEX(FishGroup!$B$4:$B$31,MATCH(B182,FishGroup!$A$4:$A$31,0)),"기타")</f>
        <v>복어</v>
      </c>
      <c r="E182" s="22" t="s">
        <v>727</v>
      </c>
      <c r="F182" s="24">
        <v>1206</v>
      </c>
      <c r="G182" s="22" t="s">
        <v>484</v>
      </c>
      <c r="H182" s="22">
        <v>0</v>
      </c>
      <c r="I182" s="22">
        <v>100</v>
      </c>
      <c r="J182" s="22">
        <v>78</v>
      </c>
      <c r="K182" s="22">
        <v>500</v>
      </c>
      <c r="L182" s="22">
        <v>250</v>
      </c>
      <c r="M182" s="22" t="s">
        <v>912</v>
      </c>
      <c r="N182" s="22" t="s">
        <v>913</v>
      </c>
      <c r="O182" s="22" t="s">
        <v>914</v>
      </c>
    </row>
    <row r="183" spans="1:15" s="22" customFormat="1" x14ac:dyDescent="0.25">
      <c r="A183" s="22">
        <v>180</v>
      </c>
      <c r="B183" s="22">
        <v>9</v>
      </c>
      <c r="C183" s="22">
        <v>3</v>
      </c>
      <c r="D183" s="22" t="str">
        <f>IFERROR(INDEX(FishGroup!$B$4:$B$31,MATCH(B183,FishGroup!$A$4:$A$31,0)),"기타")</f>
        <v>복어</v>
      </c>
      <c r="E183" s="22" t="s">
        <v>728</v>
      </c>
      <c r="F183" s="24">
        <v>1207</v>
      </c>
      <c r="G183" s="22" t="s">
        <v>484</v>
      </c>
      <c r="H183" s="22">
        <v>0</v>
      </c>
      <c r="I183" s="22">
        <v>100</v>
      </c>
      <c r="J183" s="22">
        <v>73</v>
      </c>
      <c r="K183" s="22">
        <v>500</v>
      </c>
      <c r="L183" s="22">
        <v>250</v>
      </c>
      <c r="M183" s="22" t="s">
        <v>915</v>
      </c>
      <c r="N183" s="22" t="s">
        <v>916</v>
      </c>
      <c r="O183" s="22" t="s">
        <v>917</v>
      </c>
    </row>
    <row r="184" spans="1:15" s="22" customFormat="1" x14ac:dyDescent="0.25">
      <c r="A184" s="22">
        <v>181</v>
      </c>
      <c r="B184" s="22">
        <v>9</v>
      </c>
      <c r="C184" s="22">
        <v>3</v>
      </c>
      <c r="D184" s="22" t="str">
        <f>IFERROR(INDEX(FishGroup!$B$4:$B$31,MATCH(B184,FishGroup!$A$4:$A$31,0)),"기타")</f>
        <v>복어</v>
      </c>
      <c r="E184" s="22" t="s">
        <v>729</v>
      </c>
      <c r="F184" s="24">
        <v>1208</v>
      </c>
      <c r="G184" s="22" t="s">
        <v>484</v>
      </c>
      <c r="H184" s="22">
        <v>0</v>
      </c>
      <c r="I184" s="22">
        <v>100</v>
      </c>
      <c r="J184" s="22">
        <v>70</v>
      </c>
      <c r="K184" s="22">
        <v>500</v>
      </c>
      <c r="L184" s="22">
        <v>250</v>
      </c>
      <c r="M184" s="22" t="s">
        <v>918</v>
      </c>
      <c r="N184" s="22" t="s">
        <v>919</v>
      </c>
      <c r="O184" s="22" t="s">
        <v>920</v>
      </c>
    </row>
    <row r="185" spans="1:15" s="22" customFormat="1" ht="16.5" x14ac:dyDescent="0.25">
      <c r="A185" s="22">
        <v>182</v>
      </c>
      <c r="B185" s="22">
        <v>9</v>
      </c>
      <c r="C185" s="22">
        <v>3</v>
      </c>
      <c r="D185" s="22" t="str">
        <f>IFERROR(INDEX(FishGroup!$B$4:$B$31,MATCH(B185,FishGroup!$A$4:$A$31,0)),"기타")</f>
        <v>복어</v>
      </c>
      <c r="E185" s="23" t="s">
        <v>1021</v>
      </c>
      <c r="F185" s="24">
        <v>1209</v>
      </c>
      <c r="G185" s="22" t="s">
        <v>483</v>
      </c>
      <c r="H185" s="22">
        <v>1</v>
      </c>
      <c r="I185" s="22">
        <v>100</v>
      </c>
      <c r="J185" s="22">
        <v>90</v>
      </c>
      <c r="K185" s="22">
        <v>500</v>
      </c>
      <c r="L185" s="22">
        <v>500</v>
      </c>
      <c r="M185" s="22" t="s">
        <v>1036</v>
      </c>
      <c r="N185" s="22" t="s">
        <v>1037</v>
      </c>
      <c r="O185" s="22" t="s">
        <v>1038</v>
      </c>
    </row>
    <row r="186" spans="1:15" s="22" customFormat="1" x14ac:dyDescent="0.25">
      <c r="A186" s="22">
        <v>183</v>
      </c>
      <c r="B186" s="22">
        <v>10</v>
      </c>
      <c r="C186" s="22">
        <v>3</v>
      </c>
      <c r="D186" s="22" t="str">
        <f>IFERROR(INDEX(FishGroup!$B$4:$B$31,MATCH(B186,FishGroup!$A$4:$A$31,0)),"기타")</f>
        <v>해마</v>
      </c>
      <c r="E186" s="22" t="s">
        <v>730</v>
      </c>
      <c r="F186" s="24">
        <v>1210</v>
      </c>
      <c r="G186" s="22" t="s">
        <v>486</v>
      </c>
      <c r="H186" s="22">
        <v>1</v>
      </c>
      <c r="I186" s="22">
        <v>70</v>
      </c>
      <c r="J186" s="22">
        <v>40</v>
      </c>
      <c r="K186" s="22">
        <v>700</v>
      </c>
      <c r="L186" s="22">
        <v>500</v>
      </c>
      <c r="M186" s="22" t="s">
        <v>921</v>
      </c>
      <c r="N186" s="22" t="s">
        <v>922</v>
      </c>
      <c r="O186" s="22" t="s">
        <v>923</v>
      </c>
    </row>
    <row r="187" spans="1:15" s="22" customFormat="1" x14ac:dyDescent="0.25">
      <c r="A187" s="22">
        <v>184</v>
      </c>
      <c r="B187" s="22">
        <v>10</v>
      </c>
      <c r="C187" s="22">
        <v>3</v>
      </c>
      <c r="D187" s="22" t="str">
        <f>IFERROR(INDEX(FishGroup!$B$4:$B$31,MATCH(B187,FishGroup!$A$4:$A$31,0)),"기타")</f>
        <v>해마</v>
      </c>
      <c r="E187" s="22" t="s">
        <v>731</v>
      </c>
      <c r="F187" s="24">
        <v>1211</v>
      </c>
      <c r="G187" s="22" t="s">
        <v>486</v>
      </c>
      <c r="H187" s="22">
        <v>0</v>
      </c>
      <c r="I187" s="22">
        <v>100</v>
      </c>
      <c r="J187" s="22">
        <v>65</v>
      </c>
      <c r="K187" s="22">
        <v>500</v>
      </c>
      <c r="L187" s="22">
        <v>250</v>
      </c>
      <c r="M187" s="22" t="s">
        <v>924</v>
      </c>
      <c r="N187" s="22" t="s">
        <v>925</v>
      </c>
      <c r="O187" s="22" t="s">
        <v>926</v>
      </c>
    </row>
    <row r="188" spans="1:15" s="22" customFormat="1" x14ac:dyDescent="0.25">
      <c r="A188" s="22">
        <v>185</v>
      </c>
      <c r="B188" s="22">
        <v>10</v>
      </c>
      <c r="C188" s="22">
        <v>3</v>
      </c>
      <c r="D188" s="22" t="str">
        <f>IFERROR(INDEX(FishGroup!$B$4:$B$31,MATCH(B188,FishGroup!$A$4:$A$31,0)),"기타")</f>
        <v>해마</v>
      </c>
      <c r="E188" s="22" t="s">
        <v>732</v>
      </c>
      <c r="F188" s="24">
        <v>1212</v>
      </c>
      <c r="G188" s="22" t="s">
        <v>486</v>
      </c>
      <c r="H188" s="22">
        <v>0</v>
      </c>
      <c r="I188" s="22">
        <v>100</v>
      </c>
      <c r="J188" s="22">
        <v>65</v>
      </c>
      <c r="K188" s="22">
        <v>500</v>
      </c>
      <c r="L188" s="22">
        <v>250</v>
      </c>
      <c r="M188" s="22" t="s">
        <v>927</v>
      </c>
      <c r="N188" s="22" t="s">
        <v>928</v>
      </c>
      <c r="O188" s="22" t="s">
        <v>929</v>
      </c>
    </row>
    <row r="189" spans="1:15" s="22" customFormat="1" x14ac:dyDescent="0.25">
      <c r="A189" s="22">
        <v>186</v>
      </c>
      <c r="B189" s="22">
        <v>10</v>
      </c>
      <c r="C189" s="22">
        <v>3</v>
      </c>
      <c r="D189" s="22" t="str">
        <f>IFERROR(INDEX(FishGroup!$B$4:$B$31,MATCH(B189,FishGroup!$A$4:$A$31,0)),"기타")</f>
        <v>해마</v>
      </c>
      <c r="E189" s="22" t="s">
        <v>733</v>
      </c>
      <c r="F189" s="24">
        <v>1213</v>
      </c>
      <c r="G189" s="22" t="s">
        <v>486</v>
      </c>
      <c r="H189" s="22">
        <v>0</v>
      </c>
      <c r="I189" s="22">
        <v>100</v>
      </c>
      <c r="J189" s="22">
        <v>65</v>
      </c>
      <c r="K189" s="22">
        <v>500</v>
      </c>
      <c r="L189" s="22">
        <v>250</v>
      </c>
      <c r="M189" s="22" t="s">
        <v>930</v>
      </c>
      <c r="N189" s="22" t="s">
        <v>931</v>
      </c>
      <c r="O189" s="22" t="s">
        <v>932</v>
      </c>
    </row>
    <row r="190" spans="1:15" s="22" customFormat="1" x14ac:dyDescent="0.25">
      <c r="A190" s="22">
        <v>187</v>
      </c>
      <c r="B190" s="22">
        <v>10</v>
      </c>
      <c r="C190" s="22">
        <v>3</v>
      </c>
      <c r="D190" s="22" t="str">
        <f>IFERROR(INDEX(FishGroup!$B$4:$B$31,MATCH(B190,FishGroup!$A$4:$A$31,0)),"기타")</f>
        <v>해마</v>
      </c>
      <c r="E190" s="22" t="s">
        <v>734</v>
      </c>
      <c r="F190" s="24">
        <v>1214</v>
      </c>
      <c r="G190" s="22" t="s">
        <v>486</v>
      </c>
      <c r="H190" s="22">
        <v>0</v>
      </c>
      <c r="I190" s="22">
        <v>100</v>
      </c>
      <c r="J190" s="22">
        <v>70</v>
      </c>
      <c r="K190" s="22">
        <v>500</v>
      </c>
      <c r="L190" s="22">
        <v>250</v>
      </c>
      <c r="M190" s="22" t="s">
        <v>933</v>
      </c>
      <c r="N190" s="22" t="s">
        <v>934</v>
      </c>
      <c r="O190" s="22" t="s">
        <v>935</v>
      </c>
    </row>
    <row r="191" spans="1:15" s="22" customFormat="1" x14ac:dyDescent="0.25">
      <c r="A191" s="22">
        <v>188</v>
      </c>
      <c r="B191" s="22">
        <v>10</v>
      </c>
      <c r="C191" s="22">
        <v>3</v>
      </c>
      <c r="D191" s="22" t="str">
        <f>IFERROR(INDEX(FishGroup!$B$4:$B$31,MATCH(B191,FishGroup!$A$4:$A$31,0)),"기타")</f>
        <v>해마</v>
      </c>
      <c r="E191" s="22" t="s">
        <v>735</v>
      </c>
      <c r="F191" s="24">
        <v>1215</v>
      </c>
      <c r="G191" s="22" t="s">
        <v>486</v>
      </c>
      <c r="H191" s="22">
        <v>0</v>
      </c>
      <c r="I191" s="22">
        <v>100</v>
      </c>
      <c r="J191" s="22">
        <v>70</v>
      </c>
      <c r="K191" s="22">
        <v>500</v>
      </c>
      <c r="L191" s="22">
        <v>250</v>
      </c>
      <c r="M191" s="22" t="s">
        <v>936</v>
      </c>
      <c r="N191" s="22" t="s">
        <v>937</v>
      </c>
      <c r="O191" s="22" t="s">
        <v>938</v>
      </c>
    </row>
    <row r="192" spans="1:15" s="22" customFormat="1" x14ac:dyDescent="0.25">
      <c r="A192" s="22">
        <v>189</v>
      </c>
      <c r="B192" s="22">
        <v>18</v>
      </c>
      <c r="C192" s="22">
        <v>3</v>
      </c>
      <c r="D192" s="22" t="str">
        <f>IFERROR(INDEX(FishGroup!$B$4:$B$31,MATCH(B192,FishGroup!$A$4:$A$31,0)),"기타")</f>
        <v>연체동물</v>
      </c>
      <c r="E192" s="22" t="s">
        <v>736</v>
      </c>
      <c r="F192" s="24">
        <v>1216</v>
      </c>
      <c r="G192" s="22" t="s">
        <v>483</v>
      </c>
      <c r="H192" s="22">
        <v>0</v>
      </c>
      <c r="I192" s="22">
        <v>100</v>
      </c>
      <c r="J192" s="22">
        <v>42</v>
      </c>
      <c r="K192" s="22">
        <v>600</v>
      </c>
      <c r="L192" s="22">
        <v>400</v>
      </c>
      <c r="M192" s="22" t="s">
        <v>939</v>
      </c>
      <c r="N192" s="22" t="s">
        <v>940</v>
      </c>
      <c r="O192" s="22" t="s">
        <v>941</v>
      </c>
    </row>
    <row r="193" spans="1:15" s="22" customFormat="1" x14ac:dyDescent="0.25">
      <c r="A193" s="22">
        <v>190</v>
      </c>
      <c r="B193" s="22">
        <v>18</v>
      </c>
      <c r="C193" s="22">
        <v>3</v>
      </c>
      <c r="D193" s="22" t="str">
        <f>IFERROR(INDEX(FishGroup!$B$4:$B$31,MATCH(B193,FishGroup!$A$4:$A$31,0)),"기타")</f>
        <v>연체동물</v>
      </c>
      <c r="E193" s="22" t="s">
        <v>737</v>
      </c>
      <c r="F193" s="24">
        <v>1217</v>
      </c>
      <c r="G193" s="22" t="s">
        <v>479</v>
      </c>
      <c r="H193" s="22">
        <v>1</v>
      </c>
      <c r="I193" s="22">
        <v>60</v>
      </c>
      <c r="J193" s="22">
        <v>35</v>
      </c>
      <c r="K193" s="22">
        <v>1000</v>
      </c>
      <c r="L193" s="22">
        <v>500</v>
      </c>
      <c r="M193" s="22" t="s">
        <v>942</v>
      </c>
      <c r="N193" s="22" t="s">
        <v>943</v>
      </c>
      <c r="O193" s="22" t="s">
        <v>944</v>
      </c>
    </row>
    <row r="194" spans="1:15" s="22" customFormat="1" x14ac:dyDescent="0.25">
      <c r="A194" s="22">
        <v>191</v>
      </c>
      <c r="B194" s="22">
        <v>18</v>
      </c>
      <c r="C194" s="22">
        <v>3</v>
      </c>
      <c r="D194" s="22" t="str">
        <f>IFERROR(INDEX(FishGroup!$B$4:$B$31,MATCH(B194,FishGroup!$A$4:$A$31,0)),"기타")</f>
        <v>연체동물</v>
      </c>
      <c r="E194" s="22" t="s">
        <v>738</v>
      </c>
      <c r="F194" s="24">
        <v>1218</v>
      </c>
      <c r="G194" s="22" t="s">
        <v>479</v>
      </c>
      <c r="H194" s="22">
        <v>1</v>
      </c>
      <c r="I194" s="22">
        <v>40</v>
      </c>
      <c r="J194" s="22">
        <v>25</v>
      </c>
      <c r="K194" s="22">
        <v>1000</v>
      </c>
      <c r="L194" s="22">
        <v>500</v>
      </c>
      <c r="M194" s="22" t="s">
        <v>945</v>
      </c>
      <c r="N194" s="22" t="s">
        <v>946</v>
      </c>
      <c r="O194" s="22" t="s">
        <v>947</v>
      </c>
    </row>
    <row r="195" spans="1:15" s="22" customFormat="1" x14ac:dyDescent="0.25">
      <c r="A195" s="8">
        <v>192</v>
      </c>
      <c r="B195" s="8">
        <v>18</v>
      </c>
      <c r="C195" s="8">
        <v>3</v>
      </c>
      <c r="D195" s="8" t="str">
        <f>IFERROR(INDEX(FishGroup!$B$4:$B$31,MATCH(B195,FishGroup!$A$4:$A$31,0)),"기타")</f>
        <v>연체동물</v>
      </c>
      <c r="E195" s="8" t="s">
        <v>1075</v>
      </c>
      <c r="F195" s="8">
        <v>1219</v>
      </c>
      <c r="G195" s="8" t="s">
        <v>480</v>
      </c>
      <c r="H195" s="8">
        <v>1</v>
      </c>
      <c r="I195" s="8">
        <v>150</v>
      </c>
      <c r="J195" s="8">
        <v>100</v>
      </c>
      <c r="K195" s="8">
        <v>500</v>
      </c>
      <c r="L195" s="8">
        <v>250</v>
      </c>
      <c r="M195" s="8" t="s">
        <v>1077</v>
      </c>
      <c r="N195" s="8" t="s">
        <v>1078</v>
      </c>
      <c r="O195" s="29" t="s">
        <v>1076</v>
      </c>
    </row>
    <row r="196" spans="1:15" s="22" customFormat="1" x14ac:dyDescent="0.25">
      <c r="A196" s="22">
        <v>193</v>
      </c>
      <c r="B196" s="22">
        <v>18</v>
      </c>
      <c r="C196" s="22">
        <v>3</v>
      </c>
      <c r="D196" s="22" t="str">
        <f>IFERROR(INDEX(FishGroup!$B$4:$B$31,MATCH(B196,FishGroup!$A$4:$A$31,0)),"기타")</f>
        <v>연체동물</v>
      </c>
      <c r="E196" s="22" t="s">
        <v>739</v>
      </c>
      <c r="F196" s="24">
        <v>1220</v>
      </c>
      <c r="G196" s="22" t="s">
        <v>489</v>
      </c>
      <c r="H196" s="22">
        <v>1</v>
      </c>
      <c r="I196" s="22">
        <v>70</v>
      </c>
      <c r="J196" s="22">
        <v>60</v>
      </c>
      <c r="K196" s="22">
        <v>500</v>
      </c>
      <c r="L196" s="22">
        <v>250</v>
      </c>
      <c r="M196" s="22" t="s">
        <v>948</v>
      </c>
      <c r="N196" s="22" t="s">
        <v>949</v>
      </c>
      <c r="O196" s="22" t="s">
        <v>950</v>
      </c>
    </row>
    <row r="197" spans="1:15" s="22" customFormat="1" x14ac:dyDescent="0.25">
      <c r="A197" s="22">
        <v>194</v>
      </c>
      <c r="B197" s="22">
        <v>18</v>
      </c>
      <c r="C197" s="22">
        <v>3</v>
      </c>
      <c r="D197" s="22" t="str">
        <f>IFERROR(INDEX(FishGroup!$B$4:$B$31,MATCH(B197,FishGroup!$A$4:$A$31,0)),"기타")</f>
        <v>연체동물</v>
      </c>
      <c r="E197" s="22" t="s">
        <v>740</v>
      </c>
      <c r="F197" s="24">
        <v>1221</v>
      </c>
      <c r="G197" s="22" t="s">
        <v>483</v>
      </c>
      <c r="H197" s="22">
        <v>1</v>
      </c>
      <c r="I197" s="22">
        <v>50</v>
      </c>
      <c r="J197" s="22">
        <v>35</v>
      </c>
      <c r="K197" s="22">
        <v>500</v>
      </c>
      <c r="L197" s="22">
        <v>500</v>
      </c>
      <c r="M197" s="22" t="s">
        <v>951</v>
      </c>
      <c r="N197" s="22" t="s">
        <v>952</v>
      </c>
      <c r="O197" s="22" t="s">
        <v>953</v>
      </c>
    </row>
    <row r="198" spans="1:15" s="22" customFormat="1" x14ac:dyDescent="0.25">
      <c r="A198" s="22">
        <v>195</v>
      </c>
      <c r="B198" s="22">
        <v>12</v>
      </c>
      <c r="C198" s="22">
        <v>3</v>
      </c>
      <c r="D198" s="22" t="str">
        <f>IFERROR(INDEX(FishGroup!$B$4:$B$31,MATCH(B198,FishGroup!$A$4:$A$31,0)),"기타")</f>
        <v>바다거북</v>
      </c>
      <c r="E198" s="22" t="s">
        <v>741</v>
      </c>
      <c r="F198" s="24">
        <v>1222</v>
      </c>
      <c r="G198" s="22" t="s">
        <v>488</v>
      </c>
      <c r="H198" s="22">
        <v>1</v>
      </c>
      <c r="I198" s="22">
        <v>90</v>
      </c>
      <c r="J198" s="22">
        <v>50</v>
      </c>
      <c r="K198" s="22">
        <v>1000</v>
      </c>
      <c r="L198" s="22">
        <v>500</v>
      </c>
      <c r="M198" s="22" t="s">
        <v>954</v>
      </c>
      <c r="N198" s="22" t="s">
        <v>955</v>
      </c>
      <c r="O198" s="22" t="s">
        <v>956</v>
      </c>
    </row>
    <row r="199" spans="1:15" s="22" customFormat="1" x14ac:dyDescent="0.25">
      <c r="A199" s="22">
        <v>196</v>
      </c>
      <c r="B199" s="22">
        <v>12</v>
      </c>
      <c r="C199" s="22">
        <v>3</v>
      </c>
      <c r="D199" s="22" t="str">
        <f>IFERROR(INDEX(FishGroup!$B$4:$B$31,MATCH(B199,FishGroup!$A$4:$A$31,0)),"기타")</f>
        <v>바다거북</v>
      </c>
      <c r="E199" s="22" t="s">
        <v>742</v>
      </c>
      <c r="F199" s="24">
        <v>1223</v>
      </c>
      <c r="G199" s="22" t="s">
        <v>488</v>
      </c>
      <c r="H199" s="22">
        <v>1</v>
      </c>
      <c r="I199" s="22">
        <v>90</v>
      </c>
      <c r="J199" s="22">
        <v>50</v>
      </c>
      <c r="K199" s="22">
        <v>1000</v>
      </c>
      <c r="L199" s="22">
        <v>500</v>
      </c>
      <c r="M199" s="22" t="s">
        <v>957</v>
      </c>
      <c r="N199" s="22" t="s">
        <v>958</v>
      </c>
      <c r="O199" s="22" t="s">
        <v>959</v>
      </c>
    </row>
    <row r="200" spans="1:15" s="22" customFormat="1" x14ac:dyDescent="0.25">
      <c r="A200" s="22">
        <v>197</v>
      </c>
      <c r="B200" s="22">
        <v>12</v>
      </c>
      <c r="C200" s="22">
        <v>3</v>
      </c>
      <c r="D200" s="22" t="str">
        <f>IFERROR(INDEX(FishGroup!$B$4:$B$31,MATCH(B200,FishGroup!$A$4:$A$31,0)),"기타")</f>
        <v>바다거북</v>
      </c>
      <c r="E200" s="22" t="s">
        <v>743</v>
      </c>
      <c r="F200" s="24">
        <v>1224</v>
      </c>
      <c r="G200" s="22" t="s">
        <v>488</v>
      </c>
      <c r="H200" s="22">
        <v>1</v>
      </c>
      <c r="I200" s="22">
        <v>90</v>
      </c>
      <c r="J200" s="22">
        <v>50</v>
      </c>
      <c r="K200" s="22">
        <v>500</v>
      </c>
      <c r="L200" s="22">
        <v>250</v>
      </c>
      <c r="M200" s="22" t="s">
        <v>960</v>
      </c>
      <c r="N200" s="22" t="s">
        <v>961</v>
      </c>
      <c r="O200" s="22" t="s">
        <v>962</v>
      </c>
    </row>
    <row r="201" spans="1:15" s="22" customFormat="1" x14ac:dyDescent="0.25">
      <c r="A201" s="22">
        <v>198</v>
      </c>
      <c r="B201" s="22">
        <v>12</v>
      </c>
      <c r="C201" s="22">
        <v>3</v>
      </c>
      <c r="D201" s="22" t="str">
        <f>IFERROR(INDEX(FishGroup!$B$4:$B$31,MATCH(B201,FishGroup!$A$4:$A$31,0)),"기타")</f>
        <v>바다거북</v>
      </c>
      <c r="E201" s="26" t="s">
        <v>105</v>
      </c>
      <c r="F201" s="24">
        <v>1225</v>
      </c>
      <c r="G201" s="22" t="s">
        <v>488</v>
      </c>
      <c r="H201" s="22">
        <v>0</v>
      </c>
      <c r="I201" s="22">
        <v>100</v>
      </c>
      <c r="J201" s="22">
        <v>45</v>
      </c>
      <c r="K201" s="22">
        <v>500</v>
      </c>
      <c r="L201" s="22">
        <v>300</v>
      </c>
      <c r="M201" s="22" t="s">
        <v>213</v>
      </c>
      <c r="N201" s="22" t="s">
        <v>331</v>
      </c>
      <c r="O201" s="22" t="s">
        <v>436</v>
      </c>
    </row>
    <row r="202" spans="1:15" s="22" customFormat="1" ht="16.5" x14ac:dyDescent="0.25">
      <c r="A202" s="22">
        <v>199</v>
      </c>
      <c r="B202" s="22">
        <v>12</v>
      </c>
      <c r="C202" s="22">
        <v>3</v>
      </c>
      <c r="D202" s="22" t="str">
        <f>IFERROR(INDEX(FishGroup!$B$4:$B$31,MATCH(B202,FishGroup!$A$4:$A$31,0)),"기타")</f>
        <v>바다거북</v>
      </c>
      <c r="E202" s="23" t="s">
        <v>1022</v>
      </c>
      <c r="F202" s="24">
        <v>1226</v>
      </c>
      <c r="G202" s="22" t="s">
        <v>488</v>
      </c>
      <c r="H202" s="22">
        <v>1</v>
      </c>
      <c r="I202" s="22">
        <v>100</v>
      </c>
      <c r="J202" s="22">
        <v>50</v>
      </c>
      <c r="K202" s="22">
        <v>1000</v>
      </c>
      <c r="L202" s="22">
        <v>500</v>
      </c>
      <c r="M202" s="22" t="s">
        <v>1039</v>
      </c>
      <c r="N202" s="22" t="s">
        <v>1040</v>
      </c>
      <c r="O202" s="22" t="s">
        <v>1041</v>
      </c>
    </row>
    <row r="203" spans="1:15" s="22" customFormat="1" x14ac:dyDescent="0.25">
      <c r="A203" s="22">
        <v>200</v>
      </c>
      <c r="B203" s="22">
        <v>13</v>
      </c>
      <c r="C203" s="22">
        <v>3</v>
      </c>
      <c r="D203" s="22" t="str">
        <f>IFERROR(INDEX(FishGroup!$B$4:$B$31,MATCH(B203,FishGroup!$A$4:$A$31,0)),"기타")</f>
        <v>돌고래</v>
      </c>
      <c r="E203" s="22" t="s">
        <v>744</v>
      </c>
      <c r="F203" s="24">
        <v>1227</v>
      </c>
      <c r="G203" s="22" t="s">
        <v>490</v>
      </c>
      <c r="H203" s="22">
        <v>0</v>
      </c>
      <c r="I203" s="22">
        <v>50</v>
      </c>
      <c r="J203" s="22">
        <v>20</v>
      </c>
      <c r="K203" s="22">
        <v>500</v>
      </c>
      <c r="L203" s="22">
        <v>250</v>
      </c>
      <c r="M203" s="22" t="s">
        <v>963</v>
      </c>
      <c r="N203" s="22" t="s">
        <v>964</v>
      </c>
      <c r="O203" s="22" t="s">
        <v>965</v>
      </c>
    </row>
    <row r="204" spans="1:15" s="22" customFormat="1" x14ac:dyDescent="0.25">
      <c r="A204" s="22">
        <v>201</v>
      </c>
      <c r="B204" s="22">
        <v>13</v>
      </c>
      <c r="C204" s="22">
        <v>3</v>
      </c>
      <c r="D204" s="22" t="str">
        <f>IFERROR(INDEX(FishGroup!$B$4:$B$31,MATCH(B204,FishGroup!$A$4:$A$31,0)),"기타")</f>
        <v>돌고래</v>
      </c>
      <c r="E204" s="22" t="s">
        <v>745</v>
      </c>
      <c r="F204" s="24">
        <v>1228</v>
      </c>
      <c r="G204" s="22" t="s">
        <v>490</v>
      </c>
      <c r="H204" s="22">
        <v>1</v>
      </c>
      <c r="I204" s="22">
        <v>40</v>
      </c>
      <c r="J204" s="22">
        <v>15</v>
      </c>
      <c r="K204" s="22">
        <v>700</v>
      </c>
      <c r="L204" s="22">
        <v>500</v>
      </c>
      <c r="M204" s="22" t="s">
        <v>966</v>
      </c>
      <c r="N204" s="22" t="s">
        <v>967</v>
      </c>
      <c r="O204" s="22" t="s">
        <v>968</v>
      </c>
    </row>
    <row r="205" spans="1:15" s="22" customFormat="1" x14ac:dyDescent="0.25">
      <c r="A205" s="22">
        <v>202</v>
      </c>
      <c r="B205" s="22">
        <v>13</v>
      </c>
      <c r="C205" s="22">
        <v>3</v>
      </c>
      <c r="D205" s="22" t="str">
        <f>IFERROR(INDEX(FishGroup!$B$4:$B$31,MATCH(B205,FishGroup!$A$4:$A$31,0)),"기타")</f>
        <v>돌고래</v>
      </c>
      <c r="E205" s="22" t="s">
        <v>746</v>
      </c>
      <c r="F205" s="24">
        <v>1229</v>
      </c>
      <c r="G205" s="22" t="s">
        <v>490</v>
      </c>
      <c r="H205" s="22">
        <v>0</v>
      </c>
      <c r="I205" s="22">
        <v>50</v>
      </c>
      <c r="J205" s="22">
        <v>22</v>
      </c>
      <c r="K205" s="22">
        <v>1000</v>
      </c>
      <c r="L205" s="22">
        <v>500</v>
      </c>
      <c r="M205" s="22" t="s">
        <v>969</v>
      </c>
      <c r="N205" s="22" t="s">
        <v>970</v>
      </c>
      <c r="O205" s="22" t="s">
        <v>971</v>
      </c>
    </row>
    <row r="206" spans="1:15" s="22" customFormat="1" x14ac:dyDescent="0.25">
      <c r="A206" s="22">
        <v>203</v>
      </c>
      <c r="B206" s="22">
        <v>13</v>
      </c>
      <c r="C206" s="22">
        <v>3</v>
      </c>
      <c r="D206" s="22" t="str">
        <f>IFERROR(INDEX(FishGroup!$B$4:$B$31,MATCH(B206,FishGroup!$A$4:$A$31,0)),"기타")</f>
        <v>돌고래</v>
      </c>
      <c r="E206" s="22" t="s">
        <v>747</v>
      </c>
      <c r="F206" s="24">
        <v>1230</v>
      </c>
      <c r="G206" s="22" t="s">
        <v>490</v>
      </c>
      <c r="H206" s="22">
        <v>1</v>
      </c>
      <c r="I206" s="22">
        <v>45</v>
      </c>
      <c r="J206" s="22">
        <v>20</v>
      </c>
      <c r="K206" s="22">
        <v>500</v>
      </c>
      <c r="L206" s="22">
        <v>500</v>
      </c>
      <c r="M206" s="22" t="s">
        <v>972</v>
      </c>
      <c r="N206" s="22" t="s">
        <v>973</v>
      </c>
      <c r="O206" s="22" t="s">
        <v>974</v>
      </c>
    </row>
    <row r="207" spans="1:15" s="22" customFormat="1" x14ac:dyDescent="0.25">
      <c r="A207" s="22">
        <v>204</v>
      </c>
      <c r="B207" s="22">
        <v>13</v>
      </c>
      <c r="C207" s="22">
        <v>3</v>
      </c>
      <c r="D207" s="22" t="str">
        <f>IFERROR(INDEX(FishGroup!$B$4:$B$31,MATCH(B207,FishGroup!$A$4:$A$31,0)),"기타")</f>
        <v>돌고래</v>
      </c>
      <c r="E207" s="22" t="s">
        <v>748</v>
      </c>
      <c r="F207" s="24">
        <v>1231</v>
      </c>
      <c r="G207" s="22" t="s">
        <v>490</v>
      </c>
      <c r="H207" s="22">
        <v>1</v>
      </c>
      <c r="I207" s="22">
        <v>50</v>
      </c>
      <c r="J207" s="22">
        <v>22</v>
      </c>
      <c r="K207" s="22">
        <v>1000</v>
      </c>
      <c r="L207" s="22">
        <v>500</v>
      </c>
      <c r="M207" s="22" t="s">
        <v>975</v>
      </c>
      <c r="N207" s="22" t="s">
        <v>976</v>
      </c>
      <c r="O207" s="22" t="s">
        <v>977</v>
      </c>
    </row>
    <row r="208" spans="1:15" s="22" customFormat="1" x14ac:dyDescent="0.25">
      <c r="A208" s="22">
        <v>205</v>
      </c>
      <c r="B208" s="22">
        <v>13</v>
      </c>
      <c r="C208" s="22">
        <v>3</v>
      </c>
      <c r="D208" s="22" t="str">
        <f>IFERROR(INDEX(FishGroup!$B$4:$B$31,MATCH(B208,FishGroup!$A$4:$A$31,0)),"기타")</f>
        <v>돌고래</v>
      </c>
      <c r="E208" s="22" t="s">
        <v>149</v>
      </c>
      <c r="F208" s="24">
        <v>1232</v>
      </c>
      <c r="G208" s="22" t="s">
        <v>487</v>
      </c>
      <c r="H208" s="22">
        <v>0</v>
      </c>
      <c r="I208" s="22">
        <v>100</v>
      </c>
      <c r="J208" s="22">
        <v>22</v>
      </c>
      <c r="K208" s="22">
        <v>600</v>
      </c>
      <c r="L208" s="22">
        <v>400</v>
      </c>
      <c r="M208" s="22" t="s">
        <v>250</v>
      </c>
      <c r="N208" s="22" t="s">
        <v>369</v>
      </c>
      <c r="O208" s="22" t="s">
        <v>474</v>
      </c>
    </row>
    <row r="209" spans="1:15" s="22" customFormat="1" x14ac:dyDescent="0.25">
      <c r="A209" s="22">
        <v>206</v>
      </c>
      <c r="B209" s="22">
        <v>14</v>
      </c>
      <c r="C209" s="22">
        <v>3</v>
      </c>
      <c r="D209" s="22" t="str">
        <f>IFERROR(INDEX(FishGroup!$B$4:$B$31,MATCH(B209,FishGroup!$A$4:$A$31,0)),"기타")</f>
        <v>가오리</v>
      </c>
      <c r="E209" s="22" t="s">
        <v>749</v>
      </c>
      <c r="F209" s="24">
        <v>1233</v>
      </c>
      <c r="G209" s="22" t="s">
        <v>483</v>
      </c>
      <c r="H209" s="22">
        <v>0</v>
      </c>
      <c r="I209" s="22">
        <v>100</v>
      </c>
      <c r="J209" s="22">
        <v>70</v>
      </c>
      <c r="K209" s="22">
        <v>500</v>
      </c>
      <c r="L209" s="22">
        <v>500</v>
      </c>
      <c r="M209" s="22" t="s">
        <v>978</v>
      </c>
      <c r="N209" s="22" t="s">
        <v>979</v>
      </c>
      <c r="O209" s="22" t="s">
        <v>980</v>
      </c>
    </row>
    <row r="210" spans="1:15" s="22" customFormat="1" x14ac:dyDescent="0.25">
      <c r="A210" s="22">
        <v>207</v>
      </c>
      <c r="B210" s="22">
        <v>14</v>
      </c>
      <c r="C210" s="22">
        <v>3</v>
      </c>
      <c r="D210" s="22" t="str">
        <f>IFERROR(INDEX(FishGroup!$B$4:$B$31,MATCH(B210,FishGroup!$A$4:$A$31,0)),"기타")</f>
        <v>가오리</v>
      </c>
      <c r="E210" s="22" t="s">
        <v>750</v>
      </c>
      <c r="F210" s="24">
        <v>1234</v>
      </c>
      <c r="G210" s="22" t="s">
        <v>487</v>
      </c>
      <c r="H210" s="22">
        <v>1</v>
      </c>
      <c r="I210" s="22">
        <v>100</v>
      </c>
      <c r="J210" s="22">
        <v>50</v>
      </c>
      <c r="K210" s="22">
        <v>500</v>
      </c>
      <c r="L210" s="22">
        <v>500</v>
      </c>
      <c r="M210" s="22" t="s">
        <v>981</v>
      </c>
      <c r="N210" s="22" t="s">
        <v>982</v>
      </c>
      <c r="O210" s="22" t="s">
        <v>983</v>
      </c>
    </row>
    <row r="211" spans="1:15" s="22" customFormat="1" ht="16.5" x14ac:dyDescent="0.25">
      <c r="A211" s="8">
        <v>208</v>
      </c>
      <c r="B211" s="8">
        <v>14</v>
      </c>
      <c r="C211" s="8">
        <v>3</v>
      </c>
      <c r="D211" s="8" t="str">
        <f>IFERROR(INDEX(FishGroup!$B$4:$B$31,MATCH(B211,FishGroup!$A$4:$A$31,0)),"기타")</f>
        <v>가오리</v>
      </c>
      <c r="E211" s="30" t="s">
        <v>1079</v>
      </c>
      <c r="F211" s="8">
        <v>1235</v>
      </c>
      <c r="G211" s="8" t="s">
        <v>487</v>
      </c>
      <c r="H211" s="8">
        <v>0</v>
      </c>
      <c r="I211" s="8">
        <v>100</v>
      </c>
      <c r="J211" s="8">
        <v>20</v>
      </c>
      <c r="K211" s="8">
        <v>1000</v>
      </c>
      <c r="L211" s="8">
        <v>500</v>
      </c>
      <c r="M211" s="8" t="s">
        <v>1081</v>
      </c>
      <c r="N211" s="8" t="s">
        <v>1082</v>
      </c>
      <c r="O211" s="31" t="s">
        <v>1080</v>
      </c>
    </row>
    <row r="212" spans="1:15" s="26" customFormat="1" ht="16.5" x14ac:dyDescent="0.25">
      <c r="A212" s="22">
        <v>209</v>
      </c>
      <c r="B212" s="26">
        <v>14</v>
      </c>
      <c r="C212" s="22">
        <v>3</v>
      </c>
      <c r="D212" s="26" t="str">
        <f>IFERROR(INDEX(FishGroup!$B$4:$B$31,MATCH(B212,FishGroup!$A$4:$A$31,0)),"기타")</f>
        <v>가오리</v>
      </c>
      <c r="E212" s="28" t="s">
        <v>1055</v>
      </c>
      <c r="F212" s="26">
        <v>1236</v>
      </c>
      <c r="G212" s="26" t="s">
        <v>489</v>
      </c>
      <c r="H212" s="26">
        <v>0</v>
      </c>
      <c r="I212" s="26">
        <v>50</v>
      </c>
      <c r="J212" s="26">
        <v>80</v>
      </c>
      <c r="K212" s="26">
        <v>500</v>
      </c>
      <c r="L212" s="26">
        <v>500</v>
      </c>
      <c r="M212" s="26" t="s">
        <v>1056</v>
      </c>
      <c r="N212" s="26" t="s">
        <v>1057</v>
      </c>
      <c r="O212" s="26" t="s">
        <v>1058</v>
      </c>
    </row>
    <row r="213" spans="1:15" s="22" customFormat="1" ht="16.5" x14ac:dyDescent="0.25">
      <c r="A213" s="22">
        <v>210</v>
      </c>
      <c r="B213" s="22">
        <v>14</v>
      </c>
      <c r="C213" s="22">
        <v>3</v>
      </c>
      <c r="D213" s="22" t="str">
        <f>IFERROR(INDEX(FishGroup!$B$4:$B$31,MATCH(B213,FishGroup!$A$4:$A$31,0)),"기타")</f>
        <v>가오리</v>
      </c>
      <c r="E213" s="28" t="s">
        <v>1119</v>
      </c>
      <c r="F213" s="24">
        <v>1237</v>
      </c>
      <c r="G213" s="22" t="s">
        <v>487</v>
      </c>
      <c r="H213" s="22">
        <v>0</v>
      </c>
      <c r="I213" s="22">
        <v>100</v>
      </c>
      <c r="J213" s="22">
        <v>40</v>
      </c>
      <c r="K213" s="22">
        <v>500</v>
      </c>
      <c r="L213" s="22">
        <v>250</v>
      </c>
      <c r="M213" s="37" t="s">
        <v>1116</v>
      </c>
      <c r="N213" s="37" t="s">
        <v>1121</v>
      </c>
      <c r="O213" s="22" t="s">
        <v>1109</v>
      </c>
    </row>
    <row r="214" spans="1:15" s="22" customFormat="1" ht="16.5" x14ac:dyDescent="0.25">
      <c r="A214" s="22">
        <v>211</v>
      </c>
      <c r="B214" s="22">
        <v>14</v>
      </c>
      <c r="C214" s="22">
        <v>3</v>
      </c>
      <c r="D214" s="22" t="str">
        <f>IFERROR(INDEX(FishGroup!$B$4:$B$31,MATCH(B214,FishGroup!$A$4:$A$31,0)),"기타")</f>
        <v>가오리</v>
      </c>
      <c r="E214" s="28" t="s">
        <v>1117</v>
      </c>
      <c r="F214" s="24">
        <v>1238</v>
      </c>
      <c r="G214" s="22" t="s">
        <v>483</v>
      </c>
      <c r="H214" s="22">
        <v>0</v>
      </c>
      <c r="I214" s="22">
        <v>100</v>
      </c>
      <c r="J214" s="22">
        <v>95</v>
      </c>
      <c r="K214" s="22">
        <v>500</v>
      </c>
      <c r="L214" s="22">
        <v>250</v>
      </c>
      <c r="M214" s="22" t="s">
        <v>1110</v>
      </c>
      <c r="N214" s="37" t="s">
        <v>1118</v>
      </c>
      <c r="O214" s="22" t="s">
        <v>1111</v>
      </c>
    </row>
    <row r="215" spans="1:15" s="22" customFormat="1" x14ac:dyDescent="0.25">
      <c r="A215" s="22">
        <v>212</v>
      </c>
      <c r="B215" s="22">
        <v>15</v>
      </c>
      <c r="C215" s="22">
        <v>3</v>
      </c>
      <c r="D215" s="22" t="str">
        <f>IFERROR(INDEX(FishGroup!$B$4:$B$31,MATCH(B215,FishGroup!$A$4:$A$31,0)),"기타")</f>
        <v>상어</v>
      </c>
      <c r="E215" s="22" t="s">
        <v>751</v>
      </c>
      <c r="F215" s="24">
        <v>1239</v>
      </c>
      <c r="G215" s="22" t="s">
        <v>493</v>
      </c>
      <c r="H215" s="22">
        <v>0</v>
      </c>
      <c r="I215" s="22">
        <v>100</v>
      </c>
      <c r="J215" s="22">
        <v>36</v>
      </c>
      <c r="K215" s="22">
        <v>500</v>
      </c>
      <c r="L215" s="22">
        <v>250</v>
      </c>
      <c r="M215" s="22" t="s">
        <v>984</v>
      </c>
      <c r="N215" s="22" t="s">
        <v>985</v>
      </c>
      <c r="O215" s="22" t="s">
        <v>986</v>
      </c>
    </row>
    <row r="216" spans="1:15" s="22" customFormat="1" x14ac:dyDescent="0.25">
      <c r="A216" s="22">
        <v>213</v>
      </c>
      <c r="B216" s="22">
        <v>15</v>
      </c>
      <c r="C216" s="22">
        <v>3</v>
      </c>
      <c r="D216" s="22" t="str">
        <f>IFERROR(INDEX(FishGroup!$B$4:$B$31,MATCH(B216,FishGroup!$A$4:$A$31,0)),"기타")</f>
        <v>상어</v>
      </c>
      <c r="E216" s="22" t="s">
        <v>752</v>
      </c>
      <c r="F216" s="24">
        <v>1240</v>
      </c>
      <c r="G216" s="22" t="s">
        <v>493</v>
      </c>
      <c r="H216" s="22">
        <v>0</v>
      </c>
      <c r="I216" s="22">
        <v>100</v>
      </c>
      <c r="J216" s="22">
        <v>35</v>
      </c>
      <c r="K216" s="22">
        <v>500</v>
      </c>
      <c r="L216" s="22">
        <v>250</v>
      </c>
      <c r="M216" s="22" t="s">
        <v>987</v>
      </c>
      <c r="N216" s="22" t="s">
        <v>988</v>
      </c>
      <c r="O216" s="22" t="s">
        <v>989</v>
      </c>
    </row>
    <row r="217" spans="1:15" s="22" customFormat="1" x14ac:dyDescent="0.25">
      <c r="A217" s="22">
        <v>214</v>
      </c>
      <c r="B217" s="22">
        <v>15</v>
      </c>
      <c r="C217" s="22">
        <v>3</v>
      </c>
      <c r="D217" s="22" t="str">
        <f>IFERROR(INDEX(FishGroup!$B$4:$B$31,MATCH(B217,FishGroup!$A$4:$A$31,0)),"기타")</f>
        <v>상어</v>
      </c>
      <c r="E217" s="22" t="s">
        <v>753</v>
      </c>
      <c r="F217" s="24">
        <v>1241</v>
      </c>
      <c r="G217" s="22" t="s">
        <v>493</v>
      </c>
      <c r="H217" s="22">
        <v>0</v>
      </c>
      <c r="I217" s="22">
        <v>100</v>
      </c>
      <c r="J217" s="22">
        <v>25</v>
      </c>
      <c r="K217" s="22">
        <v>500</v>
      </c>
      <c r="L217" s="22">
        <v>250</v>
      </c>
      <c r="M217" s="22" t="s">
        <v>990</v>
      </c>
      <c r="N217" s="22" t="s">
        <v>991</v>
      </c>
      <c r="O217" s="22" t="s">
        <v>992</v>
      </c>
    </row>
    <row r="218" spans="1:15" s="22" customFormat="1" x14ac:dyDescent="0.25">
      <c r="A218" s="22">
        <v>215</v>
      </c>
      <c r="B218" s="22">
        <v>15</v>
      </c>
      <c r="C218" s="22">
        <v>3</v>
      </c>
      <c r="D218" s="22" t="str">
        <f>IFERROR(INDEX(FishGroup!$B$4:$B$31,MATCH(B218,FishGroup!$A$4:$A$31,0)),"기타")</f>
        <v>상어</v>
      </c>
      <c r="E218" s="22" t="s">
        <v>754</v>
      </c>
      <c r="F218" s="24">
        <v>1242</v>
      </c>
      <c r="G218" s="22" t="s">
        <v>493</v>
      </c>
      <c r="H218" s="22">
        <v>1</v>
      </c>
      <c r="I218" s="22">
        <v>45</v>
      </c>
      <c r="J218" s="22">
        <v>35</v>
      </c>
      <c r="K218" s="22">
        <v>700</v>
      </c>
      <c r="L218" s="22">
        <v>400</v>
      </c>
      <c r="M218" s="22" t="s">
        <v>993</v>
      </c>
      <c r="N218" s="22" t="s">
        <v>994</v>
      </c>
      <c r="O218" s="22" t="s">
        <v>995</v>
      </c>
    </row>
    <row r="219" spans="1:15" s="22" customFormat="1" x14ac:dyDescent="0.25">
      <c r="A219" s="22">
        <v>216</v>
      </c>
      <c r="B219" s="22">
        <v>15</v>
      </c>
      <c r="C219" s="22">
        <v>3</v>
      </c>
      <c r="D219" s="22" t="str">
        <f>IFERROR(INDEX(FishGroup!$B$4:$B$31,MATCH(B219,FishGroup!$A$4:$A$31,0)),"기타")</f>
        <v>상어</v>
      </c>
      <c r="E219" s="22" t="s">
        <v>755</v>
      </c>
      <c r="F219" s="24">
        <v>1243</v>
      </c>
      <c r="G219" s="22" t="s">
        <v>493</v>
      </c>
      <c r="H219" s="22">
        <v>0</v>
      </c>
      <c r="I219" s="22">
        <v>50</v>
      </c>
      <c r="J219" s="22">
        <v>40</v>
      </c>
      <c r="K219" s="22">
        <v>500</v>
      </c>
      <c r="L219" s="22">
        <v>250</v>
      </c>
      <c r="M219" s="22" t="s">
        <v>996</v>
      </c>
      <c r="N219" s="22" t="s">
        <v>997</v>
      </c>
      <c r="O219" s="22" t="s">
        <v>998</v>
      </c>
    </row>
    <row r="220" spans="1:15" s="22" customFormat="1" x14ac:dyDescent="0.25">
      <c r="A220" s="22">
        <v>217</v>
      </c>
      <c r="B220" s="22">
        <v>15</v>
      </c>
      <c r="C220" s="22">
        <v>3</v>
      </c>
      <c r="D220" s="22" t="str">
        <f>IFERROR(INDEX(FishGroup!$B$4:$B$31,MATCH(B220,FishGroup!$A$4:$A$31,0)),"기타")</f>
        <v>상어</v>
      </c>
      <c r="E220" s="22" t="s">
        <v>756</v>
      </c>
      <c r="F220" s="24">
        <v>1244</v>
      </c>
      <c r="G220" s="22" t="s">
        <v>484</v>
      </c>
      <c r="H220" s="22">
        <v>1</v>
      </c>
      <c r="I220" s="22">
        <v>60</v>
      </c>
      <c r="J220" s="22">
        <v>65</v>
      </c>
      <c r="K220" s="22">
        <v>500</v>
      </c>
      <c r="L220" s="22">
        <v>250</v>
      </c>
      <c r="M220" s="22" t="s">
        <v>999</v>
      </c>
      <c r="N220" s="22" t="s">
        <v>1000</v>
      </c>
      <c r="O220" s="22" t="s">
        <v>1001</v>
      </c>
    </row>
    <row r="221" spans="1:15" s="22" customFormat="1" ht="16.5" x14ac:dyDescent="0.25">
      <c r="A221" s="22">
        <v>218</v>
      </c>
      <c r="B221" s="22">
        <v>15</v>
      </c>
      <c r="C221" s="22">
        <v>3</v>
      </c>
      <c r="D221" s="22" t="str">
        <f>IFERROR(INDEX(FishGroup!$B$4:$B$31,MATCH(B221,FishGroup!$A$4:$A$31,0)),"기타")</f>
        <v>상어</v>
      </c>
      <c r="E221" s="23" t="s">
        <v>1023</v>
      </c>
      <c r="F221" s="24">
        <v>1245</v>
      </c>
      <c r="G221" s="22" t="s">
        <v>494</v>
      </c>
      <c r="H221" s="22">
        <v>1</v>
      </c>
      <c r="I221" s="22">
        <v>100</v>
      </c>
      <c r="J221" s="22">
        <v>14</v>
      </c>
      <c r="K221" s="22">
        <v>2000</v>
      </c>
      <c r="L221" s="22">
        <v>400</v>
      </c>
      <c r="M221" s="22" t="s">
        <v>1042</v>
      </c>
      <c r="N221" s="22" t="s">
        <v>1043</v>
      </c>
      <c r="O221" s="22" t="s">
        <v>1044</v>
      </c>
    </row>
    <row r="222" spans="1:15" s="22" customFormat="1" x14ac:dyDescent="0.25">
      <c r="A222" s="22">
        <v>219</v>
      </c>
      <c r="B222" s="22">
        <v>17</v>
      </c>
      <c r="C222" s="22">
        <v>3</v>
      </c>
      <c r="D222" s="22" t="str">
        <f>IFERROR(INDEX(FishGroup!$B$4:$B$31,MATCH(B222,FishGroup!$A$4:$A$31,0)),"기타")</f>
        <v>고래</v>
      </c>
      <c r="E222" s="22" t="s">
        <v>757</v>
      </c>
      <c r="F222" s="24">
        <v>1246</v>
      </c>
      <c r="G222" s="22" t="s">
        <v>494</v>
      </c>
      <c r="H222" s="22">
        <v>1</v>
      </c>
      <c r="I222" s="22">
        <v>75</v>
      </c>
      <c r="J222" s="22">
        <v>8</v>
      </c>
      <c r="K222" s="22">
        <v>2500</v>
      </c>
      <c r="L222" s="22">
        <v>1000</v>
      </c>
      <c r="M222" s="22" t="s">
        <v>1002</v>
      </c>
      <c r="N222" s="22" t="s">
        <v>1003</v>
      </c>
      <c r="O222" s="22" t="s">
        <v>1004</v>
      </c>
    </row>
    <row r="223" spans="1:15" s="22" customFormat="1" x14ac:dyDescent="0.25">
      <c r="A223" s="22">
        <v>220</v>
      </c>
      <c r="B223" s="22">
        <v>17</v>
      </c>
      <c r="C223" s="22">
        <v>3</v>
      </c>
      <c r="D223" s="22" t="str">
        <f>IFERROR(INDEX(FishGroup!$B$4:$B$31,MATCH(B223,FishGroup!$A$4:$A$31,0)),"기타")</f>
        <v>고래</v>
      </c>
      <c r="E223" s="22" t="s">
        <v>758</v>
      </c>
      <c r="F223" s="24">
        <v>1247</v>
      </c>
      <c r="G223" s="22" t="s">
        <v>494</v>
      </c>
      <c r="H223" s="22">
        <v>1</v>
      </c>
      <c r="I223" s="22">
        <v>100</v>
      </c>
      <c r="J223" s="22">
        <v>15</v>
      </c>
      <c r="K223" s="22">
        <v>2000</v>
      </c>
      <c r="L223" s="22">
        <v>1000</v>
      </c>
      <c r="M223" s="22" t="s">
        <v>1005</v>
      </c>
      <c r="N223" s="22" t="s">
        <v>1006</v>
      </c>
      <c r="O223" s="22" t="s">
        <v>1007</v>
      </c>
    </row>
    <row r="224" spans="1:15" s="22" customFormat="1" x14ac:dyDescent="0.25">
      <c r="A224" s="22">
        <v>221</v>
      </c>
      <c r="B224" s="22">
        <v>17</v>
      </c>
      <c r="C224" s="22">
        <v>3</v>
      </c>
      <c r="D224" s="22" t="str">
        <f>IFERROR(INDEX(FishGroup!$B$4:$B$31,MATCH(B224,FishGroup!$A$4:$A$31,0)),"기타")</f>
        <v>고래</v>
      </c>
      <c r="E224" s="22" t="s">
        <v>759</v>
      </c>
      <c r="F224" s="24">
        <v>1248</v>
      </c>
      <c r="G224" s="22" t="s">
        <v>490</v>
      </c>
      <c r="H224" s="22">
        <v>0</v>
      </c>
      <c r="I224" s="22">
        <v>100</v>
      </c>
      <c r="J224" s="22">
        <v>20</v>
      </c>
      <c r="K224" s="22">
        <v>500</v>
      </c>
      <c r="L224" s="22">
        <v>300</v>
      </c>
      <c r="M224" s="22" t="s">
        <v>1008</v>
      </c>
      <c r="N224" s="22" t="s">
        <v>1009</v>
      </c>
      <c r="O224" s="22" t="s">
        <v>1010</v>
      </c>
    </row>
    <row r="225" spans="1:15" s="22" customFormat="1" x14ac:dyDescent="0.25">
      <c r="A225" s="22">
        <v>222</v>
      </c>
      <c r="B225" s="22">
        <v>17</v>
      </c>
      <c r="C225" s="22">
        <v>3</v>
      </c>
      <c r="D225" s="22" t="str">
        <f>IFERROR(INDEX(FishGroup!$B$4:$B$31,MATCH(B225,FishGroup!$A$4:$A$31,0)),"기타")</f>
        <v>고래</v>
      </c>
      <c r="E225" s="22" t="s">
        <v>760</v>
      </c>
      <c r="F225" s="24">
        <v>1249</v>
      </c>
      <c r="G225" s="22" t="s">
        <v>494</v>
      </c>
      <c r="H225" s="22">
        <v>1</v>
      </c>
      <c r="I225" s="22">
        <v>100</v>
      </c>
      <c r="J225" s="22">
        <v>15</v>
      </c>
      <c r="K225" s="22">
        <v>1000</v>
      </c>
      <c r="L225" s="22">
        <v>500</v>
      </c>
      <c r="M225" s="22" t="s">
        <v>1011</v>
      </c>
      <c r="N225" s="22" t="s">
        <v>1012</v>
      </c>
      <c r="O225" s="22" t="s">
        <v>1013</v>
      </c>
    </row>
    <row r="226" spans="1:15" s="22" customFormat="1" x14ac:dyDescent="0.25">
      <c r="A226" s="22">
        <v>223</v>
      </c>
      <c r="B226" s="22">
        <v>17</v>
      </c>
      <c r="C226" s="22">
        <v>3</v>
      </c>
      <c r="D226" s="22" t="str">
        <f>IFERROR(INDEX(FishGroup!$B$4:$B$31,MATCH(B226,FishGroup!$A$4:$A$31,0)),"기타")</f>
        <v>고래</v>
      </c>
      <c r="E226" s="26" t="s">
        <v>137</v>
      </c>
      <c r="F226" s="24">
        <v>1250</v>
      </c>
      <c r="G226" s="22" t="s">
        <v>494</v>
      </c>
      <c r="H226" s="22">
        <v>0</v>
      </c>
      <c r="I226" s="22">
        <v>100</v>
      </c>
      <c r="J226" s="22">
        <v>20</v>
      </c>
      <c r="K226" s="22">
        <v>2000</v>
      </c>
      <c r="L226" s="22">
        <v>800</v>
      </c>
      <c r="M226" s="22" t="s">
        <v>239</v>
      </c>
      <c r="N226" s="22" t="s">
        <v>357</v>
      </c>
      <c r="O226" s="22" t="s">
        <v>462</v>
      </c>
    </row>
    <row r="227" spans="1:15" s="22" customFormat="1" x14ac:dyDescent="0.25">
      <c r="A227" s="22">
        <v>224</v>
      </c>
      <c r="B227" s="22">
        <v>17</v>
      </c>
      <c r="C227" s="22">
        <v>3</v>
      </c>
      <c r="D227" s="22" t="str">
        <f>IFERROR(INDEX(FishGroup!$B$4:$B$31,MATCH(B227,FishGroup!$A$4:$A$31,0)),"기타")</f>
        <v>고래</v>
      </c>
      <c r="E227" s="22" t="s">
        <v>761</v>
      </c>
      <c r="F227" s="24">
        <v>1251</v>
      </c>
      <c r="G227" s="22" t="s">
        <v>489</v>
      </c>
      <c r="H227" s="22">
        <v>0</v>
      </c>
      <c r="I227" s="22">
        <v>50</v>
      </c>
      <c r="J227" s="22">
        <v>75</v>
      </c>
      <c r="K227" s="22">
        <v>500</v>
      </c>
      <c r="L227" s="22">
        <v>500</v>
      </c>
      <c r="M227" s="22" t="s">
        <v>1014</v>
      </c>
      <c r="N227" s="22" t="s">
        <v>1015</v>
      </c>
      <c r="O227" s="22" t="s">
        <v>1016</v>
      </c>
    </row>
    <row r="228" spans="1:15" s="26" customFormat="1" ht="16.5" x14ac:dyDescent="0.25">
      <c r="A228" s="22">
        <v>225</v>
      </c>
      <c r="B228" s="26">
        <v>15</v>
      </c>
      <c r="C228" s="22">
        <v>1</v>
      </c>
      <c r="D228" s="26" t="str">
        <f>IFERROR(INDEX(FishGroup!$B$4:$B$31,MATCH(B228,FishGroup!$A$4:$A$31,0)),"기타")</f>
        <v>상어</v>
      </c>
      <c r="E228" s="27" t="s">
        <v>1054</v>
      </c>
      <c r="F228" s="26">
        <v>361</v>
      </c>
      <c r="G228" s="26" t="s">
        <v>493</v>
      </c>
      <c r="H228" s="26">
        <v>1</v>
      </c>
      <c r="I228" s="26">
        <v>100</v>
      </c>
      <c r="J228" s="26">
        <v>40</v>
      </c>
      <c r="K228" s="26">
        <v>500</v>
      </c>
      <c r="L228" s="26">
        <v>500</v>
      </c>
      <c r="M228" s="26" t="s">
        <v>1048</v>
      </c>
      <c r="N228" s="26" t="s">
        <v>1049</v>
      </c>
      <c r="O228" s="26" t="s">
        <v>1050</v>
      </c>
    </row>
    <row r="229" spans="1:15" x14ac:dyDescent="0.25">
      <c r="A229" s="22">
        <v>226</v>
      </c>
      <c r="B229" s="7">
        <v>999</v>
      </c>
      <c r="C229" s="7">
        <v>4</v>
      </c>
      <c r="D229" s="22" t="str">
        <f>IFERROR(INDEX(FishGroup!$B$4:$B$31,MATCH(B229,FishGroup!$A$4:$A$31,0)),"기타")</f>
        <v>기타</v>
      </c>
      <c r="E229" s="7" t="s">
        <v>1128</v>
      </c>
      <c r="F229" s="24">
        <v>1253</v>
      </c>
      <c r="G229" s="7" t="s">
        <v>489</v>
      </c>
      <c r="H229" s="7">
        <v>1</v>
      </c>
      <c r="I229" s="7">
        <v>100</v>
      </c>
      <c r="J229" s="7">
        <v>55</v>
      </c>
      <c r="K229" s="7">
        <v>500</v>
      </c>
      <c r="L229" s="7">
        <v>400</v>
      </c>
      <c r="M229" s="7" t="s">
        <v>1132</v>
      </c>
      <c r="N229" s="7" t="s">
        <v>1133</v>
      </c>
      <c r="O229" s="7" t="s">
        <v>1134</v>
      </c>
    </row>
    <row r="230" spans="1:15" x14ac:dyDescent="0.25">
      <c r="A230" s="22">
        <v>227</v>
      </c>
      <c r="B230" s="7">
        <v>999</v>
      </c>
      <c r="C230" s="7">
        <v>4</v>
      </c>
      <c r="D230" s="22" t="str">
        <f>IFERROR(INDEX(FishGroup!$B$4:$B$31,MATCH(B230,FishGroup!$A$4:$A$31,0)),"기타")</f>
        <v>기타</v>
      </c>
      <c r="E230" s="7" t="s">
        <v>1129</v>
      </c>
      <c r="F230" s="24">
        <v>1254</v>
      </c>
      <c r="G230" s="7" t="s">
        <v>489</v>
      </c>
      <c r="H230" s="7">
        <v>1</v>
      </c>
      <c r="I230" s="7">
        <v>100</v>
      </c>
      <c r="J230" s="7">
        <v>60</v>
      </c>
      <c r="K230" s="7">
        <v>1000</v>
      </c>
      <c r="L230" s="7">
        <v>500</v>
      </c>
      <c r="M230" s="7" t="s">
        <v>1135</v>
      </c>
      <c r="N230" s="7" t="s">
        <v>1136</v>
      </c>
      <c r="O230" s="7" t="s">
        <v>1137</v>
      </c>
    </row>
    <row r="231" spans="1:15" x14ac:dyDescent="0.25">
      <c r="A231" s="22">
        <v>228</v>
      </c>
      <c r="B231" s="7">
        <v>999</v>
      </c>
      <c r="C231" s="7">
        <v>4</v>
      </c>
      <c r="D231" s="22" t="str">
        <f>IFERROR(INDEX(FishGroup!$B$4:$B$31,MATCH(B231,FishGroup!$A$4:$A$31,0)),"기타")</f>
        <v>기타</v>
      </c>
      <c r="E231" s="7" t="s">
        <v>1130</v>
      </c>
      <c r="F231" s="24">
        <v>1255</v>
      </c>
      <c r="G231" s="7" t="s">
        <v>483</v>
      </c>
      <c r="H231" s="7">
        <v>0</v>
      </c>
      <c r="I231" s="7">
        <v>100</v>
      </c>
      <c r="J231" s="7">
        <v>50</v>
      </c>
      <c r="K231" s="7">
        <v>600</v>
      </c>
      <c r="L231" s="7">
        <v>400</v>
      </c>
      <c r="M231" s="7" t="s">
        <v>1138</v>
      </c>
      <c r="N231" s="7" t="s">
        <v>1139</v>
      </c>
      <c r="O231" s="19" t="s">
        <v>1149</v>
      </c>
    </row>
    <row r="232" spans="1:15" x14ac:dyDescent="0.25">
      <c r="A232" s="22">
        <v>229</v>
      </c>
      <c r="B232" s="7">
        <v>17</v>
      </c>
      <c r="C232" s="7">
        <v>4</v>
      </c>
      <c r="D232" s="22" t="str">
        <f>IFERROR(INDEX(FishGroup!$B$4:$B$31,MATCH(B232,FishGroup!$A$4:$A$31,0)),"기타")</f>
        <v>고래</v>
      </c>
      <c r="E232" s="7" t="s">
        <v>1131</v>
      </c>
      <c r="F232" s="24">
        <v>1256</v>
      </c>
      <c r="G232" s="7" t="s">
        <v>494</v>
      </c>
      <c r="H232" s="7">
        <v>1</v>
      </c>
      <c r="I232" s="7">
        <v>100</v>
      </c>
      <c r="J232" s="7">
        <v>18</v>
      </c>
      <c r="K232" s="7">
        <v>500</v>
      </c>
      <c r="L232" s="7">
        <v>300</v>
      </c>
      <c r="M232" s="7" t="s">
        <v>1140</v>
      </c>
      <c r="N232" s="7" t="s">
        <v>1141</v>
      </c>
      <c r="O232" s="7" t="s">
        <v>1142</v>
      </c>
    </row>
    <row r="233" spans="1:15" ht="16.5" x14ac:dyDescent="0.25">
      <c r="A233" s="22">
        <v>230</v>
      </c>
      <c r="B233" s="7">
        <v>999</v>
      </c>
      <c r="C233" s="7">
        <v>4</v>
      </c>
      <c r="D233" s="22" t="str">
        <f>IFERROR(INDEX(FishGroup!$B$4:$B$31,MATCH(B233,FishGroup!$A$4:$A$31,0)),"기타")</f>
        <v>기타</v>
      </c>
      <c r="E233" s="39" t="s">
        <v>1145</v>
      </c>
      <c r="F233" s="24">
        <v>1252</v>
      </c>
      <c r="G233" s="7" t="s">
        <v>483</v>
      </c>
      <c r="H233" s="7">
        <v>0</v>
      </c>
      <c r="I233" s="7">
        <v>100</v>
      </c>
      <c r="J233" s="7">
        <v>60</v>
      </c>
      <c r="K233" s="7">
        <v>600</v>
      </c>
      <c r="L233" s="7">
        <v>400</v>
      </c>
      <c r="M233" s="19" t="s">
        <v>1148</v>
      </c>
      <c r="N233" s="7" t="s">
        <v>1146</v>
      </c>
      <c r="O233" s="7" t="s">
        <v>1147</v>
      </c>
    </row>
    <row r="234" spans="1:15" x14ac:dyDescent="0.25">
      <c r="B234" s="9"/>
      <c r="C234" s="10"/>
    </row>
    <row r="235" spans="1:15" x14ac:dyDescent="0.25">
      <c r="B235" s="9"/>
      <c r="C235" s="10"/>
    </row>
    <row r="236" spans="1:15" x14ac:dyDescent="0.25">
      <c r="B236" s="9"/>
      <c r="C236" s="10"/>
    </row>
    <row r="237" spans="1:15" x14ac:dyDescent="0.25">
      <c r="B237" s="9"/>
      <c r="C237" s="10"/>
    </row>
    <row r="238" spans="1:15" x14ac:dyDescent="0.25">
      <c r="B238" s="9"/>
      <c r="C238" s="11"/>
    </row>
    <row r="239" spans="1:15" x14ac:dyDescent="0.25">
      <c r="B239" s="9"/>
      <c r="C239" s="11"/>
    </row>
    <row r="240" spans="1:15" x14ac:dyDescent="0.25">
      <c r="B240" s="9"/>
      <c r="C240" s="10"/>
    </row>
    <row r="241" spans="2:3" x14ac:dyDescent="0.25">
      <c r="B241" s="9"/>
      <c r="C241" s="10"/>
    </row>
    <row r="242" spans="2:3" x14ac:dyDescent="0.25">
      <c r="B242" s="9"/>
      <c r="C242" s="10"/>
    </row>
    <row r="243" spans="2:3" x14ac:dyDescent="0.25">
      <c r="B243" s="9"/>
      <c r="C243" s="10"/>
    </row>
    <row r="244" spans="2:3" x14ac:dyDescent="0.25">
      <c r="B244" s="9"/>
      <c r="C244" s="10"/>
    </row>
    <row r="245" spans="2:3" x14ac:dyDescent="0.25">
      <c r="B245" s="9"/>
      <c r="C245" s="10"/>
    </row>
    <row r="246" spans="2:3" x14ac:dyDescent="0.25">
      <c r="B246" s="9"/>
      <c r="C246" s="10"/>
    </row>
    <row r="247" spans="2:3" x14ac:dyDescent="0.25">
      <c r="B247" s="9"/>
      <c r="C247" s="10"/>
    </row>
    <row r="248" spans="2:3" x14ac:dyDescent="0.25">
      <c r="B248" s="9"/>
      <c r="C248" s="10"/>
    </row>
    <row r="249" spans="2:3" x14ac:dyDescent="0.25">
      <c r="B249" s="9"/>
      <c r="C249" s="10"/>
    </row>
    <row r="250" spans="2:3" x14ac:dyDescent="0.25">
      <c r="B250" s="9"/>
      <c r="C250" s="10"/>
    </row>
    <row r="251" spans="2:3" x14ac:dyDescent="0.25">
      <c r="B251" s="9"/>
      <c r="C251" s="10"/>
    </row>
    <row r="252" spans="2:3" x14ac:dyDescent="0.25">
      <c r="B252" s="9"/>
      <c r="C252" s="10"/>
    </row>
    <row r="253" spans="2:3" x14ac:dyDescent="0.25">
      <c r="B253" s="9"/>
      <c r="C253" s="10"/>
    </row>
    <row r="254" spans="2:3" x14ac:dyDescent="0.25">
      <c r="B254" s="9"/>
      <c r="C254" s="12"/>
    </row>
    <row r="255" spans="2:3" x14ac:dyDescent="0.25">
      <c r="B255" s="9"/>
      <c r="C255" s="12"/>
    </row>
    <row r="256" spans="2:3" x14ac:dyDescent="0.25">
      <c r="B256" s="9"/>
      <c r="C256" s="12"/>
    </row>
    <row r="257" spans="2:3" x14ac:dyDescent="0.25">
      <c r="B257" s="9"/>
      <c r="C257" s="12"/>
    </row>
    <row r="258" spans="2:3" x14ac:dyDescent="0.25">
      <c r="B258" s="9"/>
      <c r="C258" s="12"/>
    </row>
    <row r="259" spans="2:3" x14ac:dyDescent="0.25">
      <c r="B259" s="9"/>
      <c r="C259" s="12"/>
    </row>
    <row r="260" spans="2:3" x14ac:dyDescent="0.25">
      <c r="B260" s="9"/>
      <c r="C260" s="12"/>
    </row>
  </sheetData>
  <autoFilter ref="A1:O118" xr:uid="{00000000-0001-0000-0000-000000000000}">
    <sortState xmlns:xlrd2="http://schemas.microsoft.com/office/spreadsheetml/2017/richdata2" ref="A2:O118">
      <sortCondition ref="F1:F118"/>
    </sortState>
  </autoFilter>
  <phoneticPr fontId="1" type="noConversion"/>
  <conditionalFormatting sqref="A6 A1">
    <cfRule type="duplicateValues" dxfId="29" priority="28"/>
  </conditionalFormatting>
  <conditionalFormatting sqref="A7:E7 G7:XFD7">
    <cfRule type="containsText" dxfId="28" priority="14" operator="containsText" text="nodata">
      <formula>NOT(ISERROR(SEARCH("nodata",A7)))</formula>
    </cfRule>
  </conditionalFormatting>
  <conditionalFormatting sqref="G7:XFD7 A7:E7">
    <cfRule type="containsText" dxfId="27" priority="13" operator="containsText" text="all">
      <formula>NOT(ISERROR(SEARCH("all",A7)))</formula>
    </cfRule>
  </conditionalFormatting>
  <conditionalFormatting sqref="O1:O194 O196:O1048576">
    <cfRule type="expression" dxfId="26" priority="1">
      <formula>""</formula>
    </cfRule>
  </conditionalFormatting>
  <conditionalFormatting sqref="O6:O7 O1">
    <cfRule type="duplicateValues" dxfId="25" priority="3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20F1-A407-4F57-8A46-4256054693CB}">
  <dimension ref="A1:K208"/>
  <sheetViews>
    <sheetView topLeftCell="A184" zoomScale="130" zoomScaleNormal="130" workbookViewId="0">
      <selection activeCell="J208" sqref="J208"/>
    </sheetView>
  </sheetViews>
  <sheetFormatPr defaultRowHeight="15" x14ac:dyDescent="0.25"/>
  <cols>
    <col min="1" max="1" width="4.85546875" style="14" bestFit="1" customWidth="1"/>
    <col min="2" max="2" width="7" style="36" bestFit="1" customWidth="1"/>
    <col min="3" max="3" width="6.85546875" style="14" bestFit="1" customWidth="1"/>
    <col min="4" max="4" width="12.28515625" style="14" bestFit="1" customWidth="1"/>
    <col min="5" max="5" width="13.7109375" style="14" bestFit="1" customWidth="1"/>
    <col min="6" max="6" width="13.140625" style="14" bestFit="1" customWidth="1"/>
    <col min="7" max="7" width="23.5703125" style="14" bestFit="1" customWidth="1"/>
    <col min="8" max="8" width="35" style="14" bestFit="1" customWidth="1"/>
    <col min="9" max="9" width="12.7109375" style="14" bestFit="1" customWidth="1"/>
    <col min="10" max="10" width="35" style="14" customWidth="1"/>
    <col min="11" max="11" width="31.85546875" style="14" customWidth="1"/>
    <col min="12" max="16384" width="9.140625" style="14"/>
  </cols>
  <sheetData>
    <row r="1" spans="1:11" x14ac:dyDescent="0.25">
      <c r="A1" s="13" t="s">
        <v>0</v>
      </c>
      <c r="B1" s="36" t="s">
        <v>32</v>
      </c>
      <c r="C1" s="17" t="s">
        <v>10</v>
      </c>
      <c r="D1" s="17" t="s">
        <v>33</v>
      </c>
      <c r="E1" s="17" t="s">
        <v>34</v>
      </c>
      <c r="F1" s="18" t="s">
        <v>1090</v>
      </c>
      <c r="G1" s="17" t="s">
        <v>35</v>
      </c>
      <c r="H1" s="18" t="s">
        <v>478</v>
      </c>
      <c r="I1" s="2" t="s">
        <v>256</v>
      </c>
      <c r="J1" s="18" t="s">
        <v>1091</v>
      </c>
      <c r="K1" s="18" t="s">
        <v>1088</v>
      </c>
    </row>
    <row r="2" spans="1:11" x14ac:dyDescent="0.25">
      <c r="A2" s="17" t="s">
        <v>2</v>
      </c>
      <c r="B2" s="36" t="s">
        <v>2</v>
      </c>
      <c r="C2" s="17" t="s">
        <v>2</v>
      </c>
      <c r="D2" s="17" t="s">
        <v>36</v>
      </c>
      <c r="E2" s="17" t="s">
        <v>2</v>
      </c>
      <c r="F2" s="17" t="s">
        <v>2</v>
      </c>
      <c r="G2" s="17" t="s">
        <v>3</v>
      </c>
      <c r="H2" s="17" t="s">
        <v>3</v>
      </c>
      <c r="I2" s="2" t="s">
        <v>25</v>
      </c>
      <c r="J2" s="17" t="s">
        <v>3</v>
      </c>
      <c r="K2" s="17" t="s">
        <v>3</v>
      </c>
    </row>
    <row r="3" spans="1:11" x14ac:dyDescent="0.25">
      <c r="A3" s="17" t="s">
        <v>4</v>
      </c>
      <c r="B3" s="36" t="s">
        <v>4</v>
      </c>
      <c r="C3" s="17" t="s">
        <v>6</v>
      </c>
      <c r="D3" s="17" t="s">
        <v>4</v>
      </c>
      <c r="E3" s="17" t="s">
        <v>4</v>
      </c>
      <c r="F3" s="17" t="s">
        <v>4</v>
      </c>
      <c r="G3" s="17" t="s">
        <v>6</v>
      </c>
      <c r="H3" s="17" t="s">
        <v>5</v>
      </c>
      <c r="I3" s="4" t="s">
        <v>26</v>
      </c>
      <c r="J3" s="17" t="s">
        <v>5</v>
      </c>
      <c r="K3" s="17" t="s">
        <v>5</v>
      </c>
    </row>
    <row r="4" spans="1:11" x14ac:dyDescent="0.25">
      <c r="A4" s="14">
        <v>1</v>
      </c>
      <c r="B4" s="36">
        <v>1</v>
      </c>
      <c r="C4" s="14">
        <v>1</v>
      </c>
      <c r="D4" s="15">
        <v>1</v>
      </c>
      <c r="E4" s="15">
        <v>1</v>
      </c>
      <c r="F4" s="14">
        <v>1</v>
      </c>
      <c r="G4" s="16" t="s">
        <v>539</v>
      </c>
      <c r="H4" s="14" t="s">
        <v>555</v>
      </c>
      <c r="J4" s="14">
        <v>1</v>
      </c>
    </row>
    <row r="5" spans="1:11" x14ac:dyDescent="0.25">
      <c r="A5" s="14">
        <v>2</v>
      </c>
      <c r="B5" s="36">
        <v>2</v>
      </c>
      <c r="C5" s="14">
        <v>2</v>
      </c>
      <c r="D5" s="15">
        <v>1</v>
      </c>
      <c r="E5" s="15">
        <v>1</v>
      </c>
      <c r="F5" s="14">
        <v>1</v>
      </c>
      <c r="G5" s="16" t="s">
        <v>539</v>
      </c>
      <c r="H5" s="14" t="s">
        <v>555</v>
      </c>
      <c r="J5" s="14">
        <v>1</v>
      </c>
    </row>
    <row r="6" spans="1:11" x14ac:dyDescent="0.25">
      <c r="A6" s="14">
        <v>3</v>
      </c>
      <c r="B6" s="36">
        <v>3</v>
      </c>
      <c r="C6" s="14">
        <v>3</v>
      </c>
      <c r="D6" s="15">
        <v>2</v>
      </c>
      <c r="E6" s="15">
        <v>0</v>
      </c>
      <c r="F6" s="14">
        <v>10</v>
      </c>
      <c r="G6" s="16" t="s">
        <v>540</v>
      </c>
      <c r="H6" s="14" t="s">
        <v>556</v>
      </c>
      <c r="J6" s="14">
        <v>10</v>
      </c>
    </row>
    <row r="7" spans="1:11" x14ac:dyDescent="0.25">
      <c r="A7" s="14">
        <v>4</v>
      </c>
      <c r="B7" s="36">
        <v>4</v>
      </c>
      <c r="C7" s="14">
        <v>4</v>
      </c>
      <c r="D7" s="15">
        <v>4</v>
      </c>
      <c r="E7" s="15">
        <v>3</v>
      </c>
      <c r="F7" s="14">
        <v>5</v>
      </c>
      <c r="G7" s="16" t="s">
        <v>541</v>
      </c>
      <c r="H7" s="14" t="s">
        <v>557</v>
      </c>
      <c r="J7" s="14">
        <v>5</v>
      </c>
    </row>
    <row r="8" spans="1:11" x14ac:dyDescent="0.25">
      <c r="A8" s="14">
        <v>5</v>
      </c>
      <c r="B8" s="36">
        <v>5</v>
      </c>
      <c r="C8" s="14">
        <v>5</v>
      </c>
      <c r="D8" s="15">
        <v>1</v>
      </c>
      <c r="E8" s="15">
        <v>2</v>
      </c>
      <c r="F8" s="14">
        <v>1</v>
      </c>
      <c r="G8" s="16" t="s">
        <v>539</v>
      </c>
      <c r="H8" s="14" t="s">
        <v>571</v>
      </c>
      <c r="J8" s="14">
        <v>1</v>
      </c>
    </row>
    <row r="9" spans="1:11" x14ac:dyDescent="0.25">
      <c r="A9" s="14">
        <v>6</v>
      </c>
      <c r="B9" s="36">
        <v>5</v>
      </c>
      <c r="C9" s="14">
        <v>6</v>
      </c>
      <c r="D9" s="15">
        <v>2</v>
      </c>
      <c r="E9" s="15">
        <v>0</v>
      </c>
      <c r="F9" s="14">
        <v>5</v>
      </c>
      <c r="G9" s="16" t="s">
        <v>540</v>
      </c>
      <c r="H9" s="14" t="s">
        <v>572</v>
      </c>
      <c r="J9" s="14">
        <v>5</v>
      </c>
    </row>
    <row r="10" spans="1:11" x14ac:dyDescent="0.25">
      <c r="A10" s="14">
        <v>7</v>
      </c>
      <c r="B10" s="36">
        <v>6</v>
      </c>
      <c r="C10" s="14">
        <v>7</v>
      </c>
      <c r="D10" s="15">
        <v>1</v>
      </c>
      <c r="E10" s="15">
        <v>2</v>
      </c>
      <c r="F10" s="14">
        <v>1</v>
      </c>
      <c r="G10" s="16" t="s">
        <v>539</v>
      </c>
      <c r="H10" s="14" t="s">
        <v>571</v>
      </c>
      <c r="J10" s="14">
        <v>1</v>
      </c>
    </row>
    <row r="11" spans="1:11" x14ac:dyDescent="0.25">
      <c r="A11" s="14">
        <v>8</v>
      </c>
      <c r="B11" s="36">
        <v>6</v>
      </c>
      <c r="C11" s="14">
        <v>8</v>
      </c>
      <c r="D11" s="15">
        <v>2</v>
      </c>
      <c r="E11" s="15">
        <v>0</v>
      </c>
      <c r="F11" s="14">
        <v>5</v>
      </c>
      <c r="G11" s="16" t="s">
        <v>540</v>
      </c>
      <c r="H11" s="14" t="s">
        <v>572</v>
      </c>
      <c r="J11" s="14">
        <v>5</v>
      </c>
    </row>
    <row r="12" spans="1:11" x14ac:dyDescent="0.25">
      <c r="A12" s="14">
        <v>9</v>
      </c>
      <c r="B12" s="36">
        <v>7</v>
      </c>
      <c r="C12" s="14">
        <v>9</v>
      </c>
      <c r="D12" s="15">
        <v>1</v>
      </c>
      <c r="E12" s="15">
        <v>2</v>
      </c>
      <c r="F12" s="14">
        <v>1</v>
      </c>
      <c r="G12" s="16" t="s">
        <v>539</v>
      </c>
      <c r="H12" s="14" t="s">
        <v>571</v>
      </c>
      <c r="J12" s="14">
        <v>1</v>
      </c>
    </row>
    <row r="13" spans="1:11" x14ac:dyDescent="0.25">
      <c r="A13" s="14">
        <v>10</v>
      </c>
      <c r="B13" s="36">
        <v>7</v>
      </c>
      <c r="C13" s="14">
        <v>10</v>
      </c>
      <c r="D13" s="15">
        <v>2</v>
      </c>
      <c r="E13" s="15">
        <v>0</v>
      </c>
      <c r="F13" s="14">
        <v>5</v>
      </c>
      <c r="G13" s="16" t="s">
        <v>540</v>
      </c>
      <c r="H13" s="14" t="s">
        <v>572</v>
      </c>
      <c r="J13" s="14">
        <v>5</v>
      </c>
    </row>
    <row r="14" spans="1:11" ht="16.5" x14ac:dyDescent="0.25">
      <c r="A14" s="14">
        <v>11</v>
      </c>
      <c r="B14" s="36">
        <v>8</v>
      </c>
      <c r="C14" s="14">
        <v>11</v>
      </c>
      <c r="D14" s="15">
        <v>16</v>
      </c>
      <c r="E14" s="15">
        <v>0</v>
      </c>
      <c r="F14" s="14">
        <v>10</v>
      </c>
      <c r="G14" s="16" t="s">
        <v>546</v>
      </c>
      <c r="H14" s="14" t="s">
        <v>573</v>
      </c>
      <c r="J14" s="14">
        <v>1</v>
      </c>
      <c r="K14" s="25" t="s">
        <v>1089</v>
      </c>
    </row>
    <row r="15" spans="1:11" x14ac:dyDescent="0.25">
      <c r="A15" s="14">
        <v>12</v>
      </c>
      <c r="B15" s="36">
        <v>9</v>
      </c>
      <c r="C15" s="14">
        <v>12</v>
      </c>
      <c r="D15" s="15">
        <v>1</v>
      </c>
      <c r="E15" s="15">
        <v>3</v>
      </c>
      <c r="F15" s="14">
        <v>1</v>
      </c>
      <c r="G15" s="16" t="s">
        <v>539</v>
      </c>
      <c r="H15" s="14" t="s">
        <v>574</v>
      </c>
      <c r="J15" s="14">
        <v>1</v>
      </c>
    </row>
    <row r="16" spans="1:11" x14ac:dyDescent="0.25">
      <c r="A16" s="14">
        <v>13</v>
      </c>
      <c r="B16" s="36">
        <v>9</v>
      </c>
      <c r="C16" s="14">
        <v>13</v>
      </c>
      <c r="D16" s="15">
        <v>2</v>
      </c>
      <c r="E16" s="15">
        <v>0</v>
      </c>
      <c r="F16" s="14">
        <v>5</v>
      </c>
      <c r="G16" s="16" t="s">
        <v>540</v>
      </c>
      <c r="H16" s="14" t="s">
        <v>572</v>
      </c>
      <c r="J16" s="14">
        <v>5</v>
      </c>
    </row>
    <row r="17" spans="1:11" x14ac:dyDescent="0.25">
      <c r="A17" s="14">
        <v>14</v>
      </c>
      <c r="B17" s="36">
        <v>10</v>
      </c>
      <c r="C17" s="14">
        <v>14</v>
      </c>
      <c r="D17" s="15">
        <v>1</v>
      </c>
      <c r="E17" s="15">
        <v>3</v>
      </c>
      <c r="F17" s="14">
        <v>1</v>
      </c>
      <c r="G17" s="16" t="s">
        <v>539</v>
      </c>
      <c r="H17" s="14" t="s">
        <v>574</v>
      </c>
      <c r="J17" s="14">
        <v>1</v>
      </c>
    </row>
    <row r="18" spans="1:11" x14ac:dyDescent="0.25">
      <c r="A18" s="14">
        <v>15</v>
      </c>
      <c r="B18" s="36">
        <v>10</v>
      </c>
      <c r="C18" s="14">
        <v>15</v>
      </c>
      <c r="D18" s="15">
        <v>2</v>
      </c>
      <c r="E18" s="15">
        <v>0</v>
      </c>
      <c r="F18" s="14">
        <v>5</v>
      </c>
      <c r="G18" s="16" t="s">
        <v>540</v>
      </c>
      <c r="H18" s="14" t="s">
        <v>572</v>
      </c>
      <c r="J18" s="14">
        <v>5</v>
      </c>
    </row>
    <row r="19" spans="1:11" x14ac:dyDescent="0.25">
      <c r="A19" s="14">
        <v>16</v>
      </c>
      <c r="B19" s="36">
        <v>11</v>
      </c>
      <c r="C19" s="14">
        <v>16</v>
      </c>
      <c r="D19" s="15">
        <v>1</v>
      </c>
      <c r="E19" s="15">
        <v>4</v>
      </c>
      <c r="F19" s="14">
        <v>1</v>
      </c>
      <c r="G19" s="16" t="s">
        <v>539</v>
      </c>
      <c r="H19" s="14" t="s">
        <v>558</v>
      </c>
      <c r="J19" s="14">
        <v>1</v>
      </c>
    </row>
    <row r="20" spans="1:11" x14ac:dyDescent="0.25">
      <c r="A20" s="14">
        <v>17</v>
      </c>
      <c r="B20" s="36">
        <v>11</v>
      </c>
      <c r="C20" s="14">
        <v>17</v>
      </c>
      <c r="D20" s="15">
        <v>2</v>
      </c>
      <c r="E20" s="15">
        <v>1</v>
      </c>
      <c r="F20" s="14">
        <v>5</v>
      </c>
      <c r="G20" s="16" t="s">
        <v>540</v>
      </c>
      <c r="H20" s="14" t="s">
        <v>559</v>
      </c>
      <c r="J20" s="14">
        <v>5</v>
      </c>
    </row>
    <row r="21" spans="1:11" x14ac:dyDescent="0.25">
      <c r="A21" s="14">
        <v>18</v>
      </c>
      <c r="B21" s="36">
        <v>12</v>
      </c>
      <c r="C21" s="14">
        <v>18</v>
      </c>
      <c r="D21" s="15">
        <v>1</v>
      </c>
      <c r="E21" s="15">
        <v>4</v>
      </c>
      <c r="F21" s="14">
        <v>1</v>
      </c>
      <c r="G21" s="16" t="s">
        <v>539</v>
      </c>
      <c r="H21" s="14" t="s">
        <v>558</v>
      </c>
      <c r="J21" s="14">
        <v>1</v>
      </c>
    </row>
    <row r="22" spans="1:11" x14ac:dyDescent="0.25">
      <c r="A22" s="14">
        <v>19</v>
      </c>
      <c r="B22" s="36">
        <v>12</v>
      </c>
      <c r="C22" s="14">
        <v>19</v>
      </c>
      <c r="D22" s="15">
        <v>2</v>
      </c>
      <c r="E22" s="15">
        <v>1</v>
      </c>
      <c r="F22" s="14">
        <v>5</v>
      </c>
      <c r="G22" s="16" t="s">
        <v>540</v>
      </c>
      <c r="H22" s="14" t="s">
        <v>559</v>
      </c>
      <c r="J22" s="14">
        <v>5</v>
      </c>
    </row>
    <row r="23" spans="1:11" ht="16.5" x14ac:dyDescent="0.25">
      <c r="A23" s="14">
        <v>20</v>
      </c>
      <c r="B23" s="36">
        <v>13</v>
      </c>
      <c r="C23" s="14">
        <v>20</v>
      </c>
      <c r="D23" s="15">
        <v>6</v>
      </c>
      <c r="E23" s="15">
        <v>0</v>
      </c>
      <c r="F23" s="14">
        <v>2</v>
      </c>
      <c r="G23" s="16" t="s">
        <v>542</v>
      </c>
      <c r="H23" s="14" t="s">
        <v>560</v>
      </c>
      <c r="J23" s="14">
        <v>1</v>
      </c>
      <c r="K23" s="38" t="s">
        <v>1122</v>
      </c>
    </row>
    <row r="24" spans="1:11" x14ac:dyDescent="0.25">
      <c r="A24" s="14">
        <v>21</v>
      </c>
      <c r="B24" s="36">
        <v>14</v>
      </c>
      <c r="C24" s="14">
        <v>21</v>
      </c>
      <c r="D24" s="15">
        <v>1</v>
      </c>
      <c r="E24" s="15">
        <v>5</v>
      </c>
      <c r="F24" s="14">
        <v>1</v>
      </c>
      <c r="G24" s="16" t="s">
        <v>539</v>
      </c>
      <c r="H24" s="14" t="s">
        <v>561</v>
      </c>
      <c r="J24" s="14">
        <v>1</v>
      </c>
    </row>
    <row r="25" spans="1:11" x14ac:dyDescent="0.25">
      <c r="A25" s="14">
        <v>22</v>
      </c>
      <c r="B25" s="36">
        <v>14</v>
      </c>
      <c r="C25" s="14">
        <v>22</v>
      </c>
      <c r="D25" s="15">
        <v>2</v>
      </c>
      <c r="E25" s="15">
        <v>1</v>
      </c>
      <c r="F25" s="14">
        <v>5</v>
      </c>
      <c r="G25" s="16" t="s">
        <v>540</v>
      </c>
      <c r="H25" s="14" t="s">
        <v>559</v>
      </c>
      <c r="J25" s="14">
        <v>5</v>
      </c>
    </row>
    <row r="26" spans="1:11" x14ac:dyDescent="0.25">
      <c r="A26" s="14">
        <v>23</v>
      </c>
      <c r="B26" s="36">
        <v>15</v>
      </c>
      <c r="C26" s="14">
        <v>23</v>
      </c>
      <c r="D26" s="15">
        <v>1</v>
      </c>
      <c r="E26" s="15">
        <v>5</v>
      </c>
      <c r="F26" s="14">
        <v>1</v>
      </c>
      <c r="G26" s="16" t="s">
        <v>539</v>
      </c>
      <c r="H26" s="14" t="s">
        <v>561</v>
      </c>
      <c r="J26" s="14">
        <v>1</v>
      </c>
    </row>
    <row r="27" spans="1:11" x14ac:dyDescent="0.25">
      <c r="A27" s="14">
        <v>24</v>
      </c>
      <c r="B27" s="36">
        <v>15</v>
      </c>
      <c r="C27" s="14">
        <v>24</v>
      </c>
      <c r="D27" s="15">
        <v>2</v>
      </c>
      <c r="E27" s="15">
        <v>1</v>
      </c>
      <c r="F27" s="14">
        <v>5</v>
      </c>
      <c r="G27" s="16" t="s">
        <v>540</v>
      </c>
      <c r="H27" s="14" t="s">
        <v>559</v>
      </c>
      <c r="J27" s="14">
        <v>5</v>
      </c>
    </row>
    <row r="28" spans="1:11" ht="16.5" x14ac:dyDescent="0.25">
      <c r="A28" s="14">
        <v>25</v>
      </c>
      <c r="B28" s="36">
        <v>16</v>
      </c>
      <c r="C28" s="14">
        <v>25</v>
      </c>
      <c r="D28" s="15">
        <v>34</v>
      </c>
      <c r="E28" s="15">
        <v>0</v>
      </c>
      <c r="F28" s="14">
        <v>1000</v>
      </c>
      <c r="G28" s="16" t="s">
        <v>543</v>
      </c>
      <c r="H28" s="14" t="s">
        <v>562</v>
      </c>
      <c r="J28" s="14">
        <v>50</v>
      </c>
      <c r="K28" s="25" t="s">
        <v>1092</v>
      </c>
    </row>
    <row r="29" spans="1:11" x14ac:dyDescent="0.25">
      <c r="A29" s="14">
        <v>26</v>
      </c>
      <c r="B29" s="36">
        <v>17</v>
      </c>
      <c r="C29" s="14">
        <v>26</v>
      </c>
      <c r="D29" s="15">
        <v>2</v>
      </c>
      <c r="E29" s="15">
        <v>2</v>
      </c>
      <c r="F29" s="14">
        <v>50</v>
      </c>
      <c r="G29" s="16" t="s">
        <v>540</v>
      </c>
      <c r="H29" s="14" t="s">
        <v>584</v>
      </c>
      <c r="J29" s="14">
        <v>50</v>
      </c>
    </row>
    <row r="30" spans="1:11" ht="16.5" x14ac:dyDescent="0.25">
      <c r="A30" s="14">
        <v>27</v>
      </c>
      <c r="B30" s="36">
        <v>18</v>
      </c>
      <c r="C30" s="14">
        <v>27</v>
      </c>
      <c r="D30" s="15">
        <v>16</v>
      </c>
      <c r="E30" s="15">
        <v>0</v>
      </c>
      <c r="F30" s="14">
        <v>25</v>
      </c>
      <c r="G30" s="16" t="s">
        <v>546</v>
      </c>
      <c r="H30" s="14" t="s">
        <v>582</v>
      </c>
      <c r="J30" s="14">
        <v>2</v>
      </c>
      <c r="K30" s="25" t="s">
        <v>1093</v>
      </c>
    </row>
    <row r="31" spans="1:11" x14ac:dyDescent="0.25">
      <c r="A31" s="14">
        <v>28</v>
      </c>
      <c r="B31" s="36">
        <v>19</v>
      </c>
      <c r="C31" s="14">
        <v>28</v>
      </c>
      <c r="D31" s="15">
        <v>1</v>
      </c>
      <c r="E31" s="15">
        <v>6</v>
      </c>
      <c r="F31" s="14">
        <v>1</v>
      </c>
      <c r="G31" s="16" t="s">
        <v>539</v>
      </c>
      <c r="H31" s="14" t="s">
        <v>563</v>
      </c>
      <c r="J31" s="14">
        <v>1</v>
      </c>
    </row>
    <row r="32" spans="1:11" x14ac:dyDescent="0.25">
      <c r="A32" s="14">
        <v>29</v>
      </c>
      <c r="B32" s="36">
        <v>19</v>
      </c>
      <c r="C32" s="14">
        <v>29</v>
      </c>
      <c r="D32" s="15">
        <v>2</v>
      </c>
      <c r="E32" s="15">
        <v>2</v>
      </c>
      <c r="F32" s="14">
        <v>5</v>
      </c>
      <c r="G32" s="16" t="s">
        <v>540</v>
      </c>
      <c r="H32" s="14" t="s">
        <v>564</v>
      </c>
      <c r="J32" s="14">
        <v>5</v>
      </c>
    </row>
    <row r="33" spans="1:11" x14ac:dyDescent="0.25">
      <c r="A33" s="14">
        <v>30</v>
      </c>
      <c r="B33" s="36">
        <v>20</v>
      </c>
      <c r="C33" s="14">
        <v>30</v>
      </c>
      <c r="D33" s="15">
        <v>1</v>
      </c>
      <c r="E33" s="15">
        <v>6</v>
      </c>
      <c r="F33" s="14">
        <v>1</v>
      </c>
      <c r="G33" s="16" t="s">
        <v>539</v>
      </c>
      <c r="H33" s="14" t="s">
        <v>563</v>
      </c>
      <c r="J33" s="14">
        <v>1</v>
      </c>
    </row>
    <row r="34" spans="1:11" x14ac:dyDescent="0.25">
      <c r="A34" s="14">
        <v>31</v>
      </c>
      <c r="B34" s="36">
        <v>20</v>
      </c>
      <c r="C34" s="14">
        <v>31</v>
      </c>
      <c r="D34" s="15">
        <v>2</v>
      </c>
      <c r="E34" s="15">
        <v>2</v>
      </c>
      <c r="F34" s="14">
        <v>5</v>
      </c>
      <c r="G34" s="16" t="s">
        <v>540</v>
      </c>
      <c r="H34" s="14" t="s">
        <v>564</v>
      </c>
      <c r="J34" s="14">
        <v>5</v>
      </c>
    </row>
    <row r="35" spans="1:11" x14ac:dyDescent="0.25">
      <c r="A35" s="14">
        <v>32</v>
      </c>
      <c r="B35" s="36">
        <v>21</v>
      </c>
      <c r="C35" s="14">
        <v>32</v>
      </c>
      <c r="D35" s="15">
        <v>9</v>
      </c>
      <c r="E35" s="15">
        <v>1</v>
      </c>
      <c r="F35" s="14">
        <v>5</v>
      </c>
      <c r="G35" s="16" t="s">
        <v>496</v>
      </c>
      <c r="H35" s="14" t="s">
        <v>583</v>
      </c>
      <c r="J35" s="14">
        <v>5</v>
      </c>
    </row>
    <row r="36" spans="1:11" x14ac:dyDescent="0.25">
      <c r="A36" s="14">
        <v>33</v>
      </c>
      <c r="B36" s="36">
        <v>22</v>
      </c>
      <c r="C36" s="14">
        <v>33</v>
      </c>
      <c r="D36" s="15">
        <v>1</v>
      </c>
      <c r="E36" s="15">
        <v>6</v>
      </c>
      <c r="F36" s="14">
        <v>1</v>
      </c>
      <c r="G36" s="16" t="s">
        <v>539</v>
      </c>
      <c r="H36" s="14" t="s">
        <v>563</v>
      </c>
      <c r="J36" s="14">
        <v>1</v>
      </c>
    </row>
    <row r="37" spans="1:11" x14ac:dyDescent="0.25">
      <c r="A37" s="14">
        <v>34</v>
      </c>
      <c r="B37" s="36">
        <v>22</v>
      </c>
      <c r="C37" s="14">
        <v>34</v>
      </c>
      <c r="D37" s="15">
        <v>2</v>
      </c>
      <c r="E37" s="15">
        <v>2</v>
      </c>
      <c r="F37" s="14">
        <v>5</v>
      </c>
      <c r="G37" s="16" t="s">
        <v>540</v>
      </c>
      <c r="H37" s="14" t="s">
        <v>564</v>
      </c>
      <c r="J37" s="14">
        <v>5</v>
      </c>
    </row>
    <row r="38" spans="1:11" x14ac:dyDescent="0.25">
      <c r="A38" s="14">
        <v>35</v>
      </c>
      <c r="B38" s="36">
        <v>23</v>
      </c>
      <c r="C38" s="14">
        <v>35</v>
      </c>
      <c r="D38" s="15">
        <v>1</v>
      </c>
      <c r="E38" s="15">
        <v>6</v>
      </c>
      <c r="F38" s="14">
        <v>1</v>
      </c>
      <c r="G38" s="16" t="s">
        <v>539</v>
      </c>
      <c r="H38" s="14" t="s">
        <v>563</v>
      </c>
      <c r="J38" s="14">
        <v>1</v>
      </c>
    </row>
    <row r="39" spans="1:11" x14ac:dyDescent="0.25">
      <c r="A39" s="14">
        <v>36</v>
      </c>
      <c r="B39" s="36">
        <v>23</v>
      </c>
      <c r="C39" s="14">
        <v>36</v>
      </c>
      <c r="D39" s="15">
        <v>2</v>
      </c>
      <c r="E39" s="15">
        <v>2</v>
      </c>
      <c r="F39" s="14">
        <v>5</v>
      </c>
      <c r="G39" s="16" t="s">
        <v>540</v>
      </c>
      <c r="H39" s="14" t="s">
        <v>564</v>
      </c>
      <c r="J39" s="14">
        <v>5</v>
      </c>
    </row>
    <row r="40" spans="1:11" x14ac:dyDescent="0.25">
      <c r="A40" s="14">
        <v>37</v>
      </c>
      <c r="B40" s="36">
        <v>24</v>
      </c>
      <c r="C40" s="14">
        <v>37</v>
      </c>
      <c r="D40" s="15">
        <v>80</v>
      </c>
      <c r="E40" s="15">
        <v>0</v>
      </c>
      <c r="F40" s="14">
        <v>500</v>
      </c>
      <c r="G40" s="16" t="s">
        <v>544</v>
      </c>
      <c r="H40" s="14" t="s">
        <v>565</v>
      </c>
      <c r="J40" s="14">
        <v>500</v>
      </c>
    </row>
    <row r="41" spans="1:11" x14ac:dyDescent="0.25">
      <c r="A41" s="14">
        <v>38</v>
      </c>
      <c r="B41" s="36">
        <v>25</v>
      </c>
      <c r="C41" s="14">
        <v>38</v>
      </c>
      <c r="D41" s="15">
        <v>1</v>
      </c>
      <c r="E41" s="15">
        <v>7</v>
      </c>
      <c r="F41" s="14">
        <v>1</v>
      </c>
      <c r="G41" s="16" t="s">
        <v>539</v>
      </c>
      <c r="H41" s="14" t="s">
        <v>566</v>
      </c>
      <c r="J41" s="14">
        <v>1</v>
      </c>
    </row>
    <row r="42" spans="1:11" x14ac:dyDescent="0.25">
      <c r="A42" s="14">
        <v>39</v>
      </c>
      <c r="B42" s="36">
        <v>25</v>
      </c>
      <c r="C42" s="14">
        <v>39</v>
      </c>
      <c r="D42" s="15">
        <v>2</v>
      </c>
      <c r="E42" s="15">
        <v>3</v>
      </c>
      <c r="F42" s="14">
        <v>3</v>
      </c>
      <c r="G42" s="16" t="s">
        <v>540</v>
      </c>
      <c r="H42" s="14" t="s">
        <v>567</v>
      </c>
      <c r="J42" s="14">
        <v>3</v>
      </c>
    </row>
    <row r="43" spans="1:11" x14ac:dyDescent="0.25">
      <c r="A43" s="14">
        <v>40</v>
      </c>
      <c r="B43" s="36">
        <v>26</v>
      </c>
      <c r="C43" s="14">
        <v>40</v>
      </c>
      <c r="D43" s="15">
        <v>1</v>
      </c>
      <c r="E43" s="15">
        <v>7</v>
      </c>
      <c r="F43" s="14">
        <v>1</v>
      </c>
      <c r="G43" s="16" t="s">
        <v>539</v>
      </c>
      <c r="H43" s="14" t="s">
        <v>566</v>
      </c>
      <c r="J43" s="14">
        <v>1</v>
      </c>
    </row>
    <row r="44" spans="1:11" x14ac:dyDescent="0.25">
      <c r="A44" s="14">
        <v>41</v>
      </c>
      <c r="B44" s="36">
        <v>26</v>
      </c>
      <c r="C44" s="14">
        <v>41</v>
      </c>
      <c r="D44" s="15">
        <v>2</v>
      </c>
      <c r="E44" s="15">
        <v>3</v>
      </c>
      <c r="F44" s="14">
        <v>3</v>
      </c>
      <c r="G44" s="16" t="s">
        <v>540</v>
      </c>
      <c r="H44" s="14" t="s">
        <v>567</v>
      </c>
      <c r="J44" s="14">
        <v>3</v>
      </c>
    </row>
    <row r="45" spans="1:11" x14ac:dyDescent="0.25">
      <c r="A45" s="14">
        <v>42</v>
      </c>
      <c r="B45" s="36">
        <v>27</v>
      </c>
      <c r="C45" s="14">
        <v>42</v>
      </c>
      <c r="D45" s="15">
        <v>1</v>
      </c>
      <c r="E45" s="15">
        <v>7</v>
      </c>
      <c r="F45" s="14">
        <v>1</v>
      </c>
      <c r="G45" s="16" t="s">
        <v>539</v>
      </c>
      <c r="H45" s="14" t="s">
        <v>566</v>
      </c>
      <c r="J45" s="14">
        <v>1</v>
      </c>
    </row>
    <row r="46" spans="1:11" x14ac:dyDescent="0.25">
      <c r="A46" s="14">
        <v>43</v>
      </c>
      <c r="B46" s="36">
        <v>27</v>
      </c>
      <c r="C46" s="14">
        <v>43</v>
      </c>
      <c r="D46" s="15">
        <v>2</v>
      </c>
      <c r="E46" s="15">
        <v>3</v>
      </c>
      <c r="F46" s="14">
        <v>3</v>
      </c>
      <c r="G46" s="16" t="s">
        <v>540</v>
      </c>
      <c r="H46" s="14" t="s">
        <v>567</v>
      </c>
      <c r="J46" s="14">
        <v>3</v>
      </c>
    </row>
    <row r="47" spans="1:11" ht="16.5" x14ac:dyDescent="0.25">
      <c r="A47" s="14">
        <v>44</v>
      </c>
      <c r="B47" s="36">
        <v>28</v>
      </c>
      <c r="C47" s="14">
        <v>44</v>
      </c>
      <c r="D47" s="15">
        <v>20</v>
      </c>
      <c r="E47" s="15">
        <v>0</v>
      </c>
      <c r="F47" s="14">
        <v>30</v>
      </c>
      <c r="G47" s="16" t="s">
        <v>545</v>
      </c>
      <c r="H47" s="14" t="s">
        <v>568</v>
      </c>
      <c r="J47" s="14">
        <v>1</v>
      </c>
      <c r="K47" s="25" t="s">
        <v>1094</v>
      </c>
    </row>
    <row r="48" spans="1:11" x14ac:dyDescent="0.25">
      <c r="A48" s="14">
        <v>45</v>
      </c>
      <c r="B48" s="36">
        <v>29</v>
      </c>
      <c r="C48" s="14">
        <v>45</v>
      </c>
      <c r="D48" s="15">
        <v>7</v>
      </c>
      <c r="E48" s="15">
        <v>0</v>
      </c>
      <c r="F48" s="14">
        <v>5</v>
      </c>
      <c r="G48" s="16" t="s">
        <v>547</v>
      </c>
      <c r="H48" s="14" t="s">
        <v>575</v>
      </c>
      <c r="J48" s="14">
        <v>5</v>
      </c>
    </row>
    <row r="49" spans="1:10" x14ac:dyDescent="0.25">
      <c r="A49" s="14">
        <v>46</v>
      </c>
      <c r="B49" s="36">
        <v>30</v>
      </c>
      <c r="C49" s="14">
        <v>46</v>
      </c>
      <c r="D49" s="15">
        <v>2</v>
      </c>
      <c r="E49" s="15">
        <v>4</v>
      </c>
      <c r="F49" s="14">
        <v>30</v>
      </c>
      <c r="G49" s="16" t="s">
        <v>540</v>
      </c>
      <c r="H49" s="14" t="s">
        <v>576</v>
      </c>
      <c r="J49" s="14">
        <v>30</v>
      </c>
    </row>
    <row r="50" spans="1:10" x14ac:dyDescent="0.25">
      <c r="A50" s="14">
        <v>47</v>
      </c>
      <c r="B50" s="36">
        <v>31</v>
      </c>
      <c r="C50" s="14">
        <v>47</v>
      </c>
      <c r="D50" s="15">
        <v>5</v>
      </c>
      <c r="E50" s="15">
        <v>1</v>
      </c>
      <c r="F50" s="14">
        <v>3000</v>
      </c>
      <c r="G50" s="16" t="s">
        <v>548</v>
      </c>
      <c r="H50" s="14" t="s">
        <v>577</v>
      </c>
      <c r="J50" s="14">
        <v>3000</v>
      </c>
    </row>
    <row r="51" spans="1:10" x14ac:dyDescent="0.25">
      <c r="A51" s="14">
        <v>48</v>
      </c>
      <c r="B51" s="36">
        <v>32</v>
      </c>
      <c r="C51" s="14">
        <v>48</v>
      </c>
      <c r="D51" s="15">
        <v>1</v>
      </c>
      <c r="E51" s="15">
        <v>8</v>
      </c>
      <c r="F51" s="14">
        <v>1</v>
      </c>
      <c r="G51" s="16" t="s">
        <v>539</v>
      </c>
      <c r="H51" s="14" t="s">
        <v>578</v>
      </c>
      <c r="J51" s="14">
        <v>1</v>
      </c>
    </row>
    <row r="52" spans="1:10" x14ac:dyDescent="0.25">
      <c r="A52" s="14">
        <v>49</v>
      </c>
      <c r="B52" s="36">
        <v>32</v>
      </c>
      <c r="C52" s="14">
        <v>49</v>
      </c>
      <c r="D52" s="15">
        <v>2</v>
      </c>
      <c r="E52" s="15">
        <v>4</v>
      </c>
      <c r="F52" s="14">
        <v>5</v>
      </c>
      <c r="G52" s="16" t="s">
        <v>540</v>
      </c>
      <c r="H52" s="14" t="s">
        <v>579</v>
      </c>
      <c r="J52" s="14">
        <v>5</v>
      </c>
    </row>
    <row r="53" spans="1:10" x14ac:dyDescent="0.25">
      <c r="A53" s="14">
        <v>50</v>
      </c>
      <c r="B53" s="36">
        <v>33</v>
      </c>
      <c r="C53" s="14">
        <v>50</v>
      </c>
      <c r="D53" s="15">
        <v>1</v>
      </c>
      <c r="E53" s="15">
        <v>8</v>
      </c>
      <c r="F53" s="14">
        <v>1</v>
      </c>
      <c r="G53" s="16" t="s">
        <v>539</v>
      </c>
      <c r="H53" s="14" t="s">
        <v>578</v>
      </c>
      <c r="J53" s="14">
        <v>1</v>
      </c>
    </row>
    <row r="54" spans="1:10" x14ac:dyDescent="0.25">
      <c r="A54" s="14">
        <v>51</v>
      </c>
      <c r="B54" s="36">
        <v>33</v>
      </c>
      <c r="C54" s="14">
        <v>51</v>
      </c>
      <c r="D54" s="15">
        <v>2</v>
      </c>
      <c r="E54" s="15">
        <v>4</v>
      </c>
      <c r="F54" s="14">
        <v>5</v>
      </c>
      <c r="G54" s="16" t="s">
        <v>540</v>
      </c>
      <c r="H54" s="14" t="s">
        <v>579</v>
      </c>
      <c r="J54" s="14">
        <v>5</v>
      </c>
    </row>
    <row r="55" spans="1:10" x14ac:dyDescent="0.25">
      <c r="A55" s="14">
        <v>52</v>
      </c>
      <c r="B55" s="36">
        <v>34</v>
      </c>
      <c r="C55" s="14">
        <v>52</v>
      </c>
      <c r="D55" s="15">
        <v>1</v>
      </c>
      <c r="E55" s="15">
        <v>8</v>
      </c>
      <c r="F55" s="14">
        <v>1</v>
      </c>
      <c r="G55" s="16" t="s">
        <v>539</v>
      </c>
      <c r="H55" s="14" t="s">
        <v>578</v>
      </c>
      <c r="J55" s="14">
        <v>1</v>
      </c>
    </row>
    <row r="56" spans="1:10" x14ac:dyDescent="0.25">
      <c r="A56" s="14">
        <v>53</v>
      </c>
      <c r="B56" s="36">
        <v>34</v>
      </c>
      <c r="C56" s="14">
        <v>53</v>
      </c>
      <c r="D56" s="15">
        <v>2</v>
      </c>
      <c r="E56" s="15">
        <v>4</v>
      </c>
      <c r="F56" s="14">
        <v>5</v>
      </c>
      <c r="G56" s="16" t="s">
        <v>540</v>
      </c>
      <c r="H56" s="14" t="s">
        <v>579</v>
      </c>
      <c r="J56" s="14">
        <v>5</v>
      </c>
    </row>
    <row r="57" spans="1:10" x14ac:dyDescent="0.25">
      <c r="A57" s="14">
        <v>54</v>
      </c>
      <c r="B57" s="36">
        <v>35</v>
      </c>
      <c r="C57" s="14">
        <v>54</v>
      </c>
      <c r="D57" s="15">
        <v>4</v>
      </c>
      <c r="E57" s="15">
        <v>34</v>
      </c>
      <c r="F57" s="14">
        <v>5</v>
      </c>
      <c r="G57" s="16" t="s">
        <v>541</v>
      </c>
      <c r="H57" s="14" t="s">
        <v>580</v>
      </c>
      <c r="J57" s="14">
        <v>5</v>
      </c>
    </row>
    <row r="58" spans="1:10" x14ac:dyDescent="0.25">
      <c r="A58" s="14">
        <v>55</v>
      </c>
      <c r="B58" s="36">
        <v>36</v>
      </c>
      <c r="C58" s="14">
        <v>55</v>
      </c>
      <c r="D58" s="15">
        <v>24</v>
      </c>
      <c r="E58" s="15">
        <v>6</v>
      </c>
      <c r="F58" s="14">
        <v>15</v>
      </c>
      <c r="G58" s="16" t="s">
        <v>549</v>
      </c>
      <c r="H58" s="14" t="s">
        <v>581</v>
      </c>
      <c r="J58" s="14">
        <v>15</v>
      </c>
    </row>
    <row r="59" spans="1:10" x14ac:dyDescent="0.25">
      <c r="A59" s="14">
        <v>56</v>
      </c>
      <c r="B59" s="36">
        <v>37</v>
      </c>
      <c r="C59" s="14">
        <v>56</v>
      </c>
      <c r="D59" s="15">
        <v>1</v>
      </c>
      <c r="E59" s="15">
        <v>9</v>
      </c>
      <c r="F59" s="14">
        <v>1</v>
      </c>
      <c r="G59" s="16" t="s">
        <v>539</v>
      </c>
      <c r="H59" s="14" t="s">
        <v>569</v>
      </c>
      <c r="J59" s="14">
        <v>1</v>
      </c>
    </row>
    <row r="60" spans="1:10" x14ac:dyDescent="0.25">
      <c r="A60" s="14">
        <v>57</v>
      </c>
      <c r="B60" s="36">
        <v>37</v>
      </c>
      <c r="C60" s="14">
        <v>57</v>
      </c>
      <c r="D60" s="15">
        <v>2</v>
      </c>
      <c r="E60" s="15">
        <v>6</v>
      </c>
      <c r="F60" s="14">
        <v>3</v>
      </c>
      <c r="G60" s="16" t="s">
        <v>540</v>
      </c>
      <c r="H60" s="14" t="s">
        <v>570</v>
      </c>
      <c r="J60" s="14">
        <v>3</v>
      </c>
    </row>
    <row r="61" spans="1:10" x14ac:dyDescent="0.25">
      <c r="A61" s="14">
        <v>58</v>
      </c>
      <c r="B61" s="36">
        <v>38</v>
      </c>
      <c r="C61" s="14">
        <v>58</v>
      </c>
      <c r="D61" s="15">
        <v>1</v>
      </c>
      <c r="E61" s="15">
        <v>9</v>
      </c>
      <c r="F61" s="14">
        <v>1</v>
      </c>
      <c r="G61" s="16" t="s">
        <v>539</v>
      </c>
      <c r="H61" s="14" t="s">
        <v>569</v>
      </c>
      <c r="J61" s="14">
        <v>1</v>
      </c>
    </row>
    <row r="62" spans="1:10" x14ac:dyDescent="0.25">
      <c r="A62" s="14">
        <v>59</v>
      </c>
      <c r="B62" s="36">
        <v>38</v>
      </c>
      <c r="C62" s="14">
        <v>59</v>
      </c>
      <c r="D62" s="15">
        <v>2</v>
      </c>
      <c r="E62" s="15">
        <v>6</v>
      </c>
      <c r="F62" s="14">
        <v>3</v>
      </c>
      <c r="G62" s="16" t="s">
        <v>540</v>
      </c>
      <c r="H62" s="14" t="s">
        <v>570</v>
      </c>
      <c r="J62" s="14">
        <v>3</v>
      </c>
    </row>
    <row r="63" spans="1:10" x14ac:dyDescent="0.25">
      <c r="A63" s="14">
        <v>60</v>
      </c>
      <c r="B63" s="36">
        <v>39</v>
      </c>
      <c r="C63" s="14">
        <v>60</v>
      </c>
      <c r="D63" s="15">
        <v>1</v>
      </c>
      <c r="E63" s="15">
        <v>9</v>
      </c>
      <c r="F63" s="14">
        <v>1</v>
      </c>
      <c r="G63" s="16" t="s">
        <v>539</v>
      </c>
      <c r="H63" s="14" t="s">
        <v>569</v>
      </c>
      <c r="J63" s="14">
        <v>1</v>
      </c>
    </row>
    <row r="64" spans="1:10" x14ac:dyDescent="0.25">
      <c r="A64" s="14">
        <v>61</v>
      </c>
      <c r="B64" s="36">
        <v>39</v>
      </c>
      <c r="C64" s="14">
        <v>61</v>
      </c>
      <c r="D64" s="15">
        <v>2</v>
      </c>
      <c r="E64" s="15">
        <v>6</v>
      </c>
      <c r="F64" s="14">
        <v>3</v>
      </c>
      <c r="G64" s="16" t="s">
        <v>540</v>
      </c>
      <c r="H64" s="14" t="s">
        <v>570</v>
      </c>
      <c r="J64" s="14">
        <v>3</v>
      </c>
    </row>
    <row r="65" spans="1:11" x14ac:dyDescent="0.25">
      <c r="A65" s="14">
        <v>62</v>
      </c>
      <c r="B65" s="36">
        <v>40</v>
      </c>
      <c r="C65" s="14">
        <v>62</v>
      </c>
      <c r="D65" s="15">
        <v>1</v>
      </c>
      <c r="E65" s="15">
        <v>9</v>
      </c>
      <c r="F65" s="14">
        <v>1</v>
      </c>
      <c r="G65" s="16" t="s">
        <v>539</v>
      </c>
      <c r="H65" s="14" t="s">
        <v>569</v>
      </c>
      <c r="J65" s="14">
        <v>1</v>
      </c>
    </row>
    <row r="66" spans="1:11" x14ac:dyDescent="0.25">
      <c r="A66" s="14">
        <v>63</v>
      </c>
      <c r="B66" s="36">
        <v>40</v>
      </c>
      <c r="C66" s="14">
        <v>63</v>
      </c>
      <c r="D66" s="15">
        <v>2</v>
      </c>
      <c r="E66" s="15">
        <v>6</v>
      </c>
      <c r="F66" s="14">
        <v>3</v>
      </c>
      <c r="G66" s="16" t="s">
        <v>540</v>
      </c>
      <c r="H66" s="14" t="s">
        <v>570</v>
      </c>
      <c r="J66" s="14">
        <v>3</v>
      </c>
    </row>
    <row r="67" spans="1:11" x14ac:dyDescent="0.25">
      <c r="A67" s="14">
        <v>64</v>
      </c>
      <c r="B67" s="36">
        <v>41</v>
      </c>
      <c r="C67" s="14">
        <v>64</v>
      </c>
      <c r="D67" s="15">
        <v>11</v>
      </c>
      <c r="E67" s="15">
        <v>0</v>
      </c>
      <c r="F67" s="14">
        <v>25</v>
      </c>
      <c r="G67" s="16" t="s">
        <v>1087</v>
      </c>
      <c r="H67" s="14" t="s">
        <v>585</v>
      </c>
      <c r="J67" s="14">
        <v>25</v>
      </c>
    </row>
    <row r="68" spans="1:11" ht="16.5" x14ac:dyDescent="0.25">
      <c r="A68" s="14">
        <v>65</v>
      </c>
      <c r="B68" s="36">
        <v>42</v>
      </c>
      <c r="C68" s="14">
        <v>65</v>
      </c>
      <c r="D68" s="15">
        <v>7</v>
      </c>
      <c r="E68" s="15">
        <v>0</v>
      </c>
      <c r="F68" s="14">
        <v>20</v>
      </c>
      <c r="G68" s="16" t="s">
        <v>547</v>
      </c>
      <c r="H68" s="14" t="s">
        <v>586</v>
      </c>
      <c r="J68" s="14">
        <v>2</v>
      </c>
      <c r="K68" s="25" t="s">
        <v>1095</v>
      </c>
    </row>
    <row r="69" spans="1:11" x14ac:dyDescent="0.25">
      <c r="A69" s="14">
        <v>66</v>
      </c>
      <c r="B69" s="36">
        <v>43</v>
      </c>
      <c r="C69" s="14">
        <v>66</v>
      </c>
      <c r="D69" s="15">
        <v>1</v>
      </c>
      <c r="E69" s="15">
        <v>10</v>
      </c>
      <c r="F69" s="14">
        <v>1</v>
      </c>
      <c r="G69" s="16" t="s">
        <v>539</v>
      </c>
      <c r="H69" s="14" t="s">
        <v>587</v>
      </c>
      <c r="J69" s="14">
        <v>1</v>
      </c>
    </row>
    <row r="70" spans="1:11" x14ac:dyDescent="0.25">
      <c r="A70" s="14">
        <v>67</v>
      </c>
      <c r="B70" s="36">
        <v>43</v>
      </c>
      <c r="C70" s="14">
        <v>67</v>
      </c>
      <c r="D70" s="15">
        <v>2</v>
      </c>
      <c r="E70" s="15">
        <v>7</v>
      </c>
      <c r="F70" s="14">
        <v>3</v>
      </c>
      <c r="G70" s="16" t="s">
        <v>540</v>
      </c>
      <c r="H70" s="14" t="s">
        <v>588</v>
      </c>
      <c r="J70" s="14">
        <v>3</v>
      </c>
    </row>
    <row r="71" spans="1:11" x14ac:dyDescent="0.25">
      <c r="A71" s="14">
        <v>68</v>
      </c>
      <c r="B71" s="36">
        <v>44</v>
      </c>
      <c r="C71" s="14">
        <v>68</v>
      </c>
      <c r="D71" s="15">
        <v>1</v>
      </c>
      <c r="E71" s="15">
        <v>10</v>
      </c>
      <c r="F71" s="14">
        <v>1</v>
      </c>
      <c r="G71" s="16" t="s">
        <v>539</v>
      </c>
      <c r="H71" s="14" t="s">
        <v>587</v>
      </c>
      <c r="J71" s="14">
        <v>1</v>
      </c>
    </row>
    <row r="72" spans="1:11" x14ac:dyDescent="0.25">
      <c r="A72" s="14">
        <v>69</v>
      </c>
      <c r="B72" s="36">
        <v>44</v>
      </c>
      <c r="C72" s="14">
        <v>69</v>
      </c>
      <c r="D72" s="15">
        <v>2</v>
      </c>
      <c r="E72" s="15">
        <v>7</v>
      </c>
      <c r="F72" s="14">
        <v>3</v>
      </c>
      <c r="G72" s="16" t="s">
        <v>540</v>
      </c>
      <c r="H72" s="14" t="s">
        <v>588</v>
      </c>
      <c r="J72" s="14">
        <v>3</v>
      </c>
    </row>
    <row r="73" spans="1:11" x14ac:dyDescent="0.25">
      <c r="A73" s="14">
        <v>70</v>
      </c>
      <c r="B73" s="36">
        <v>45</v>
      </c>
      <c r="C73" s="14">
        <v>70</v>
      </c>
      <c r="D73" s="15">
        <v>1009</v>
      </c>
      <c r="E73" s="15">
        <v>0</v>
      </c>
      <c r="F73" s="14">
        <v>10</v>
      </c>
      <c r="G73" s="16" t="s">
        <v>550</v>
      </c>
      <c r="H73" s="14" t="s">
        <v>590</v>
      </c>
      <c r="J73" s="14">
        <v>10</v>
      </c>
    </row>
    <row r="74" spans="1:11" x14ac:dyDescent="0.25">
      <c r="A74" s="14">
        <v>71</v>
      </c>
      <c r="B74" s="36">
        <v>46</v>
      </c>
      <c r="C74" s="14">
        <v>71</v>
      </c>
      <c r="D74" s="15">
        <v>1004</v>
      </c>
      <c r="E74" s="15">
        <v>0</v>
      </c>
      <c r="F74" s="14">
        <v>10</v>
      </c>
      <c r="G74" s="16" t="s">
        <v>551</v>
      </c>
      <c r="H74" s="14" t="s">
        <v>595</v>
      </c>
      <c r="J74" s="14">
        <v>10</v>
      </c>
    </row>
    <row r="75" spans="1:11" ht="16.5" x14ac:dyDescent="0.25">
      <c r="A75" s="14">
        <v>72</v>
      </c>
      <c r="B75" s="36">
        <v>47</v>
      </c>
      <c r="C75" s="14">
        <v>72</v>
      </c>
      <c r="D75" s="15">
        <v>6</v>
      </c>
      <c r="E75" s="15">
        <v>0</v>
      </c>
      <c r="F75" s="14">
        <v>12</v>
      </c>
      <c r="G75" s="16" t="s">
        <v>542</v>
      </c>
      <c r="H75" s="14" t="s">
        <v>591</v>
      </c>
      <c r="J75" s="14">
        <v>1</v>
      </c>
      <c r="K75" s="38" t="s">
        <v>1122</v>
      </c>
    </row>
    <row r="76" spans="1:11" x14ac:dyDescent="0.25">
      <c r="A76" s="14">
        <v>73</v>
      </c>
      <c r="B76" s="36">
        <v>48</v>
      </c>
      <c r="C76" s="14">
        <v>73</v>
      </c>
      <c r="D76" s="15">
        <v>1</v>
      </c>
      <c r="E76" s="15">
        <v>10</v>
      </c>
      <c r="F76" s="14">
        <v>1</v>
      </c>
      <c r="G76" s="16" t="s">
        <v>539</v>
      </c>
      <c r="H76" s="14" t="s">
        <v>587</v>
      </c>
      <c r="J76" s="14">
        <v>1</v>
      </c>
    </row>
    <row r="77" spans="1:11" x14ac:dyDescent="0.25">
      <c r="A77" s="14">
        <v>74</v>
      </c>
      <c r="B77" s="36">
        <v>48</v>
      </c>
      <c r="C77" s="14">
        <v>74</v>
      </c>
      <c r="D77" s="15">
        <v>2</v>
      </c>
      <c r="E77" s="15">
        <v>8</v>
      </c>
      <c r="F77" s="14">
        <v>2</v>
      </c>
      <c r="G77" s="16" t="s">
        <v>540</v>
      </c>
      <c r="H77" s="14" t="s">
        <v>589</v>
      </c>
      <c r="J77" s="14">
        <v>2</v>
      </c>
    </row>
    <row r="78" spans="1:11" x14ac:dyDescent="0.25">
      <c r="A78" s="14">
        <v>75</v>
      </c>
      <c r="B78" s="36">
        <v>49</v>
      </c>
      <c r="C78" s="14">
        <v>75</v>
      </c>
      <c r="D78" s="15">
        <v>1</v>
      </c>
      <c r="E78" s="15">
        <v>10</v>
      </c>
      <c r="F78" s="14">
        <v>1</v>
      </c>
      <c r="G78" s="16" t="s">
        <v>539</v>
      </c>
      <c r="H78" s="14" t="s">
        <v>587</v>
      </c>
      <c r="J78" s="14">
        <v>1</v>
      </c>
    </row>
    <row r="79" spans="1:11" x14ac:dyDescent="0.25">
      <c r="A79" s="14">
        <v>76</v>
      </c>
      <c r="B79" s="36">
        <v>49</v>
      </c>
      <c r="C79" s="14">
        <v>76</v>
      </c>
      <c r="D79" s="15">
        <v>2</v>
      </c>
      <c r="E79" s="15">
        <v>8</v>
      </c>
      <c r="F79" s="14">
        <v>2</v>
      </c>
      <c r="G79" s="16" t="s">
        <v>540</v>
      </c>
      <c r="H79" s="14" t="s">
        <v>589</v>
      </c>
      <c r="J79" s="14">
        <v>2</v>
      </c>
    </row>
    <row r="80" spans="1:11" x14ac:dyDescent="0.25">
      <c r="A80" s="14">
        <v>77</v>
      </c>
      <c r="B80" s="36">
        <v>50</v>
      </c>
      <c r="C80" s="14">
        <v>77</v>
      </c>
      <c r="D80" s="15">
        <v>1</v>
      </c>
      <c r="E80" s="15">
        <v>10</v>
      </c>
      <c r="F80" s="14">
        <v>1</v>
      </c>
      <c r="G80" s="16" t="s">
        <v>539</v>
      </c>
      <c r="H80" s="14" t="s">
        <v>587</v>
      </c>
      <c r="J80" s="14">
        <v>1</v>
      </c>
    </row>
    <row r="81" spans="1:11" x14ac:dyDescent="0.25">
      <c r="A81" s="14">
        <v>78</v>
      </c>
      <c r="B81" s="36">
        <v>50</v>
      </c>
      <c r="C81" s="14">
        <v>78</v>
      </c>
      <c r="D81" s="15">
        <v>2</v>
      </c>
      <c r="E81" s="15">
        <v>8</v>
      </c>
      <c r="F81" s="14">
        <v>2</v>
      </c>
      <c r="G81" s="16" t="s">
        <v>540</v>
      </c>
      <c r="H81" s="14" t="s">
        <v>589</v>
      </c>
      <c r="J81" s="14">
        <v>2</v>
      </c>
    </row>
    <row r="82" spans="1:11" ht="16.5" x14ac:dyDescent="0.25">
      <c r="A82" s="14">
        <v>79</v>
      </c>
      <c r="B82" s="36">
        <v>51</v>
      </c>
      <c r="C82" s="14">
        <v>79</v>
      </c>
      <c r="D82" s="15">
        <v>8</v>
      </c>
      <c r="E82" s="15">
        <v>0</v>
      </c>
      <c r="F82" s="14">
        <v>70</v>
      </c>
      <c r="G82" s="16" t="s">
        <v>495</v>
      </c>
      <c r="H82" s="14" t="s">
        <v>592</v>
      </c>
      <c r="J82" s="14">
        <v>3</v>
      </c>
      <c r="K82" s="25" t="s">
        <v>1096</v>
      </c>
    </row>
    <row r="83" spans="1:11" x14ac:dyDescent="0.25">
      <c r="A83" s="14">
        <v>80</v>
      </c>
      <c r="B83" s="36">
        <v>52</v>
      </c>
      <c r="C83" s="14">
        <v>80</v>
      </c>
      <c r="D83" s="15">
        <v>1</v>
      </c>
      <c r="E83" s="15">
        <v>10</v>
      </c>
      <c r="F83" s="14">
        <v>1</v>
      </c>
      <c r="G83" s="16" t="s">
        <v>539</v>
      </c>
      <c r="H83" s="14" t="s">
        <v>587</v>
      </c>
      <c r="J83" s="14">
        <v>1</v>
      </c>
    </row>
    <row r="84" spans="1:11" x14ac:dyDescent="0.25">
      <c r="A84" s="14">
        <v>81</v>
      </c>
      <c r="B84" s="36">
        <v>52</v>
      </c>
      <c r="C84" s="14">
        <v>81</v>
      </c>
      <c r="D84" s="15">
        <v>2</v>
      </c>
      <c r="E84" s="15">
        <v>8</v>
      </c>
      <c r="F84" s="14">
        <v>2</v>
      </c>
      <c r="G84" s="16" t="s">
        <v>540</v>
      </c>
      <c r="H84" s="14" t="s">
        <v>589</v>
      </c>
      <c r="J84" s="14">
        <v>2</v>
      </c>
    </row>
    <row r="85" spans="1:11" x14ac:dyDescent="0.25">
      <c r="A85" s="14">
        <v>82</v>
      </c>
      <c r="B85" s="36">
        <v>53</v>
      </c>
      <c r="C85" s="14">
        <v>82</v>
      </c>
      <c r="D85" s="15">
        <v>1</v>
      </c>
      <c r="E85" s="15">
        <v>10</v>
      </c>
      <c r="F85" s="14">
        <v>1</v>
      </c>
      <c r="G85" s="16" t="s">
        <v>539</v>
      </c>
      <c r="H85" s="14" t="s">
        <v>587</v>
      </c>
      <c r="J85" s="14">
        <v>1</v>
      </c>
    </row>
    <row r="86" spans="1:11" x14ac:dyDescent="0.25">
      <c r="A86" s="14">
        <v>83</v>
      </c>
      <c r="B86" s="36">
        <v>53</v>
      </c>
      <c r="C86" s="14">
        <v>83</v>
      </c>
      <c r="D86" s="15">
        <v>2</v>
      </c>
      <c r="E86" s="15">
        <v>8</v>
      </c>
      <c r="F86" s="14">
        <v>2</v>
      </c>
      <c r="G86" s="16" t="s">
        <v>540</v>
      </c>
      <c r="H86" s="14" t="s">
        <v>589</v>
      </c>
      <c r="J86" s="14">
        <v>2</v>
      </c>
    </row>
    <row r="87" spans="1:11" ht="16.5" x14ac:dyDescent="0.25">
      <c r="A87" s="14">
        <v>84</v>
      </c>
      <c r="B87" s="36">
        <v>54</v>
      </c>
      <c r="C87" s="14">
        <v>84</v>
      </c>
      <c r="D87" s="15">
        <v>20</v>
      </c>
      <c r="E87" s="15">
        <v>0</v>
      </c>
      <c r="F87" s="14">
        <v>50</v>
      </c>
      <c r="G87" s="16" t="s">
        <v>545</v>
      </c>
      <c r="H87" s="14" t="s">
        <v>593</v>
      </c>
      <c r="J87" s="14">
        <v>2</v>
      </c>
      <c r="K87" s="25" t="s">
        <v>1097</v>
      </c>
    </row>
    <row r="88" spans="1:11" ht="16.5" x14ac:dyDescent="0.25">
      <c r="A88" s="14">
        <v>85</v>
      </c>
      <c r="B88" s="36">
        <v>55</v>
      </c>
      <c r="C88" s="14">
        <v>85</v>
      </c>
      <c r="D88" s="15">
        <v>6</v>
      </c>
      <c r="E88" s="15">
        <v>0</v>
      </c>
      <c r="F88" s="14">
        <v>5</v>
      </c>
      <c r="G88" s="16" t="s">
        <v>542</v>
      </c>
      <c r="H88" s="14" t="s">
        <v>594</v>
      </c>
      <c r="J88" s="14">
        <v>1</v>
      </c>
      <c r="K88" s="38" t="s">
        <v>1123</v>
      </c>
    </row>
    <row r="89" spans="1:11" ht="16.5" x14ac:dyDescent="0.25">
      <c r="A89" s="14">
        <v>86</v>
      </c>
      <c r="B89" s="36">
        <v>56</v>
      </c>
      <c r="C89" s="14">
        <v>86</v>
      </c>
      <c r="D89" s="15">
        <v>34</v>
      </c>
      <c r="E89" s="15">
        <v>0</v>
      </c>
      <c r="F89" s="14">
        <v>100000</v>
      </c>
      <c r="G89" s="16" t="s">
        <v>543</v>
      </c>
      <c r="H89" s="14" t="s">
        <v>598</v>
      </c>
      <c r="J89" s="14">
        <v>60</v>
      </c>
      <c r="K89" s="25" t="s">
        <v>1098</v>
      </c>
    </row>
    <row r="90" spans="1:11" x14ac:dyDescent="0.25">
      <c r="A90" s="14">
        <v>87</v>
      </c>
      <c r="B90" s="36">
        <v>57</v>
      </c>
      <c r="C90" s="14">
        <v>87</v>
      </c>
      <c r="D90" s="15">
        <v>1</v>
      </c>
      <c r="E90" s="15">
        <v>11</v>
      </c>
      <c r="F90" s="14">
        <v>1</v>
      </c>
      <c r="G90" s="16" t="s">
        <v>539</v>
      </c>
      <c r="H90" s="14" t="s">
        <v>599</v>
      </c>
      <c r="J90" s="14">
        <v>1</v>
      </c>
    </row>
    <row r="91" spans="1:11" x14ac:dyDescent="0.25">
      <c r="A91" s="14">
        <v>88</v>
      </c>
      <c r="B91" s="36">
        <v>57</v>
      </c>
      <c r="C91" s="14">
        <v>88</v>
      </c>
      <c r="D91" s="15">
        <v>2</v>
      </c>
      <c r="E91" s="15">
        <v>9</v>
      </c>
      <c r="F91" s="14">
        <v>3</v>
      </c>
      <c r="G91" s="16" t="s">
        <v>540</v>
      </c>
      <c r="H91" s="14" t="s">
        <v>600</v>
      </c>
      <c r="J91" s="14">
        <v>3</v>
      </c>
    </row>
    <row r="92" spans="1:11" x14ac:dyDescent="0.25">
      <c r="A92" s="14">
        <v>89</v>
      </c>
      <c r="B92" s="36">
        <v>58</v>
      </c>
      <c r="C92" s="14">
        <v>89</v>
      </c>
      <c r="D92" s="15">
        <v>1</v>
      </c>
      <c r="E92" s="15">
        <v>11</v>
      </c>
      <c r="F92" s="14">
        <v>1</v>
      </c>
      <c r="G92" s="16" t="s">
        <v>539</v>
      </c>
      <c r="H92" s="14" t="s">
        <v>599</v>
      </c>
      <c r="J92" s="14">
        <v>1</v>
      </c>
    </row>
    <row r="93" spans="1:11" x14ac:dyDescent="0.25">
      <c r="A93" s="14">
        <v>90</v>
      </c>
      <c r="B93" s="36">
        <v>58</v>
      </c>
      <c r="C93" s="14">
        <v>90</v>
      </c>
      <c r="D93" s="15">
        <v>2</v>
      </c>
      <c r="E93" s="15">
        <v>9</v>
      </c>
      <c r="F93" s="14">
        <v>3</v>
      </c>
      <c r="G93" s="16" t="s">
        <v>540</v>
      </c>
      <c r="H93" s="14" t="s">
        <v>600</v>
      </c>
      <c r="J93" s="14">
        <v>3</v>
      </c>
    </row>
    <row r="94" spans="1:11" x14ac:dyDescent="0.25">
      <c r="A94" s="14">
        <v>91</v>
      </c>
      <c r="B94" s="36">
        <v>59</v>
      </c>
      <c r="C94" s="14">
        <v>91</v>
      </c>
      <c r="D94" s="15">
        <v>1</v>
      </c>
      <c r="E94" s="15">
        <v>11</v>
      </c>
      <c r="F94" s="14">
        <v>1</v>
      </c>
      <c r="G94" s="16" t="s">
        <v>539</v>
      </c>
      <c r="H94" s="14" t="s">
        <v>599</v>
      </c>
      <c r="J94" s="14">
        <v>1</v>
      </c>
    </row>
    <row r="95" spans="1:11" x14ac:dyDescent="0.25">
      <c r="A95" s="14">
        <v>92</v>
      </c>
      <c r="B95" s="36">
        <v>59</v>
      </c>
      <c r="C95" s="14">
        <v>92</v>
      </c>
      <c r="D95" s="15">
        <v>2</v>
      </c>
      <c r="E95" s="15">
        <v>9</v>
      </c>
      <c r="F95" s="14">
        <v>3</v>
      </c>
      <c r="G95" s="16" t="s">
        <v>540</v>
      </c>
      <c r="H95" s="14" t="s">
        <v>600</v>
      </c>
      <c r="J95" s="14">
        <v>3</v>
      </c>
    </row>
    <row r="96" spans="1:11" x14ac:dyDescent="0.25">
      <c r="A96" s="14">
        <v>93</v>
      </c>
      <c r="B96" s="36">
        <v>60</v>
      </c>
      <c r="C96" s="14">
        <v>93</v>
      </c>
      <c r="D96" s="15">
        <v>24</v>
      </c>
      <c r="E96" s="15">
        <v>10</v>
      </c>
      <c r="F96" s="14">
        <v>15</v>
      </c>
      <c r="G96" s="16" t="s">
        <v>549</v>
      </c>
      <c r="H96" s="14" t="s">
        <v>601</v>
      </c>
      <c r="J96" s="14">
        <v>15</v>
      </c>
    </row>
    <row r="97" spans="1:11" ht="16.5" x14ac:dyDescent="0.25">
      <c r="A97" s="14">
        <v>94</v>
      </c>
      <c r="B97" s="36">
        <v>61</v>
      </c>
      <c r="C97" s="14">
        <v>94</v>
      </c>
      <c r="D97" s="15">
        <v>20</v>
      </c>
      <c r="E97" s="15">
        <v>0</v>
      </c>
      <c r="F97" s="14">
        <v>120</v>
      </c>
      <c r="G97" s="16" t="s">
        <v>545</v>
      </c>
      <c r="H97" s="14" t="s">
        <v>612</v>
      </c>
      <c r="J97" s="14">
        <v>3</v>
      </c>
      <c r="K97" s="25" t="s">
        <v>1099</v>
      </c>
    </row>
    <row r="98" spans="1:11" x14ac:dyDescent="0.25">
      <c r="A98" s="14">
        <v>95</v>
      </c>
      <c r="B98" s="36">
        <v>62</v>
      </c>
      <c r="C98" s="14">
        <v>95</v>
      </c>
      <c r="D98" s="15">
        <v>1</v>
      </c>
      <c r="E98" s="15">
        <v>16</v>
      </c>
      <c r="F98" s="14">
        <v>1</v>
      </c>
      <c r="G98" s="16" t="s">
        <v>539</v>
      </c>
      <c r="H98" s="14" t="s">
        <v>606</v>
      </c>
      <c r="J98" s="14">
        <v>1</v>
      </c>
    </row>
    <row r="99" spans="1:11" x14ac:dyDescent="0.25">
      <c r="A99" s="14">
        <v>96</v>
      </c>
      <c r="B99" s="36">
        <v>63</v>
      </c>
      <c r="C99" s="14">
        <v>96</v>
      </c>
      <c r="D99" s="15">
        <v>1</v>
      </c>
      <c r="E99" s="15">
        <v>16</v>
      </c>
      <c r="F99" s="14">
        <v>1</v>
      </c>
      <c r="G99" s="16" t="s">
        <v>539</v>
      </c>
      <c r="H99" s="14" t="s">
        <v>606</v>
      </c>
      <c r="J99" s="14">
        <v>1</v>
      </c>
    </row>
    <row r="100" spans="1:11" x14ac:dyDescent="0.25">
      <c r="A100" s="14">
        <v>97</v>
      </c>
      <c r="B100" s="36">
        <v>64</v>
      </c>
      <c r="C100" s="14">
        <v>97</v>
      </c>
      <c r="D100" s="15">
        <v>1</v>
      </c>
      <c r="E100" s="15">
        <v>16</v>
      </c>
      <c r="F100" s="14">
        <v>1</v>
      </c>
      <c r="G100" s="16" t="s">
        <v>539</v>
      </c>
      <c r="H100" s="14" t="s">
        <v>606</v>
      </c>
      <c r="J100" s="14">
        <v>1</v>
      </c>
    </row>
    <row r="101" spans="1:11" x14ac:dyDescent="0.25">
      <c r="A101" s="14">
        <v>98</v>
      </c>
      <c r="B101" s="36">
        <v>64</v>
      </c>
      <c r="C101" s="14">
        <v>98</v>
      </c>
      <c r="D101" s="15">
        <v>1004</v>
      </c>
      <c r="E101" s="15">
        <v>0</v>
      </c>
      <c r="F101" s="14">
        <v>15</v>
      </c>
      <c r="G101" s="16" t="s">
        <v>551</v>
      </c>
      <c r="H101" s="14" t="s">
        <v>607</v>
      </c>
      <c r="J101" s="14">
        <v>15</v>
      </c>
    </row>
    <row r="102" spans="1:11" x14ac:dyDescent="0.25">
      <c r="A102" s="14">
        <v>99</v>
      </c>
      <c r="B102" s="36">
        <v>65</v>
      </c>
      <c r="C102" s="14">
        <v>99</v>
      </c>
      <c r="D102" s="15">
        <v>1</v>
      </c>
      <c r="E102" s="15">
        <v>16</v>
      </c>
      <c r="F102" s="14">
        <v>1</v>
      </c>
      <c r="G102" s="16" t="s">
        <v>539</v>
      </c>
      <c r="H102" s="14" t="s">
        <v>606</v>
      </c>
      <c r="J102" s="14">
        <v>1</v>
      </c>
    </row>
    <row r="103" spans="1:11" x14ac:dyDescent="0.25">
      <c r="A103" s="14">
        <v>100</v>
      </c>
      <c r="B103" s="36">
        <v>65</v>
      </c>
      <c r="C103" s="14">
        <v>100</v>
      </c>
      <c r="D103" s="15">
        <v>1005</v>
      </c>
      <c r="E103" s="15">
        <v>0</v>
      </c>
      <c r="F103" s="14">
        <v>5</v>
      </c>
      <c r="G103" s="16" t="s">
        <v>554</v>
      </c>
      <c r="H103" s="14" t="s">
        <v>619</v>
      </c>
      <c r="J103" s="14">
        <v>5</v>
      </c>
    </row>
    <row r="104" spans="1:11" x14ac:dyDescent="0.25">
      <c r="A104" s="14">
        <v>101</v>
      </c>
      <c r="B104" s="36">
        <v>66</v>
      </c>
      <c r="C104" s="14">
        <v>101</v>
      </c>
      <c r="D104" s="15">
        <v>1</v>
      </c>
      <c r="E104" s="15">
        <v>16</v>
      </c>
      <c r="F104" s="14">
        <v>1</v>
      </c>
      <c r="G104" s="16" t="s">
        <v>539</v>
      </c>
      <c r="H104" s="14" t="s">
        <v>606</v>
      </c>
      <c r="J104" s="14">
        <v>1</v>
      </c>
    </row>
    <row r="105" spans="1:11" x14ac:dyDescent="0.25">
      <c r="A105" s="14">
        <v>102</v>
      </c>
      <c r="B105" s="36">
        <v>66</v>
      </c>
      <c r="C105" s="14">
        <v>102</v>
      </c>
      <c r="D105" s="15">
        <v>2</v>
      </c>
      <c r="E105" s="15">
        <v>19</v>
      </c>
      <c r="F105" s="14">
        <v>5</v>
      </c>
      <c r="G105" s="16" t="s">
        <v>540</v>
      </c>
      <c r="H105" s="14" t="s">
        <v>620</v>
      </c>
      <c r="J105" s="14">
        <v>5</v>
      </c>
    </row>
    <row r="106" spans="1:11" x14ac:dyDescent="0.25">
      <c r="A106" s="14">
        <v>103</v>
      </c>
      <c r="B106" s="36">
        <v>67</v>
      </c>
      <c r="C106" s="14">
        <v>103</v>
      </c>
      <c r="D106" s="15">
        <v>1</v>
      </c>
      <c r="E106" s="15">
        <v>12</v>
      </c>
      <c r="F106" s="14">
        <v>1</v>
      </c>
      <c r="G106" s="16" t="s">
        <v>539</v>
      </c>
      <c r="H106" s="14" t="s">
        <v>621</v>
      </c>
      <c r="J106" s="14">
        <v>1</v>
      </c>
    </row>
    <row r="107" spans="1:11" x14ac:dyDescent="0.25">
      <c r="A107" s="14">
        <v>104</v>
      </c>
      <c r="B107" s="36">
        <v>67</v>
      </c>
      <c r="C107" s="14">
        <v>104</v>
      </c>
      <c r="D107" s="15">
        <v>2</v>
      </c>
      <c r="E107" s="15">
        <v>10</v>
      </c>
      <c r="F107" s="14">
        <v>3</v>
      </c>
      <c r="G107" s="16" t="s">
        <v>540</v>
      </c>
      <c r="H107" s="14" t="s">
        <v>622</v>
      </c>
      <c r="J107" s="14">
        <v>3</v>
      </c>
    </row>
    <row r="108" spans="1:11" x14ac:dyDescent="0.25">
      <c r="A108" s="14">
        <v>105</v>
      </c>
      <c r="B108" s="36">
        <v>68</v>
      </c>
      <c r="C108" s="14">
        <v>105</v>
      </c>
      <c r="D108" s="15">
        <v>4</v>
      </c>
      <c r="E108" s="15">
        <v>67</v>
      </c>
      <c r="F108" s="14">
        <v>5</v>
      </c>
      <c r="G108" s="16" t="s">
        <v>541</v>
      </c>
      <c r="H108" s="14" t="s">
        <v>623</v>
      </c>
      <c r="J108" s="14">
        <v>5</v>
      </c>
    </row>
    <row r="109" spans="1:11" x14ac:dyDescent="0.25">
      <c r="A109" s="14">
        <v>106</v>
      </c>
      <c r="B109" s="36">
        <v>69</v>
      </c>
      <c r="C109" s="14">
        <v>106</v>
      </c>
      <c r="D109" s="15">
        <v>1</v>
      </c>
      <c r="E109" s="15">
        <v>15</v>
      </c>
      <c r="F109" s="14">
        <v>1</v>
      </c>
      <c r="G109" s="16" t="s">
        <v>539</v>
      </c>
      <c r="H109" s="14" t="s">
        <v>624</v>
      </c>
      <c r="J109" s="14">
        <v>1</v>
      </c>
    </row>
    <row r="110" spans="1:11" x14ac:dyDescent="0.25">
      <c r="A110" s="14">
        <v>107</v>
      </c>
      <c r="B110" s="36">
        <v>70</v>
      </c>
      <c r="C110" s="14">
        <v>107</v>
      </c>
      <c r="D110" s="15">
        <v>1</v>
      </c>
      <c r="E110" s="15">
        <v>15</v>
      </c>
      <c r="F110" s="14">
        <v>1</v>
      </c>
      <c r="G110" s="16" t="s">
        <v>539</v>
      </c>
      <c r="H110" s="14" t="s">
        <v>624</v>
      </c>
      <c r="J110" s="14">
        <v>1</v>
      </c>
    </row>
    <row r="111" spans="1:11" x14ac:dyDescent="0.25">
      <c r="A111" s="14">
        <v>108</v>
      </c>
      <c r="B111" s="36">
        <v>70</v>
      </c>
      <c r="C111" s="14">
        <v>108</v>
      </c>
      <c r="D111" s="15">
        <v>2</v>
      </c>
      <c r="E111" s="15">
        <v>18</v>
      </c>
      <c r="F111" s="14">
        <v>3</v>
      </c>
      <c r="G111" s="16" t="s">
        <v>540</v>
      </c>
      <c r="H111" s="14" t="s">
        <v>625</v>
      </c>
      <c r="J111" s="14">
        <v>3</v>
      </c>
    </row>
    <row r="112" spans="1:11" x14ac:dyDescent="0.25">
      <c r="A112" s="14">
        <v>109</v>
      </c>
      <c r="B112" s="36">
        <v>71</v>
      </c>
      <c r="C112" s="14">
        <v>109</v>
      </c>
      <c r="D112" s="15">
        <v>1</v>
      </c>
      <c r="E112" s="15">
        <v>15</v>
      </c>
      <c r="F112" s="14">
        <v>1</v>
      </c>
      <c r="G112" s="16" t="s">
        <v>539</v>
      </c>
      <c r="H112" s="14" t="s">
        <v>624</v>
      </c>
      <c r="J112" s="14">
        <v>1</v>
      </c>
    </row>
    <row r="113" spans="1:11" x14ac:dyDescent="0.25">
      <c r="A113" s="14">
        <v>110</v>
      </c>
      <c r="B113" s="36">
        <v>71</v>
      </c>
      <c r="C113" s="14">
        <v>110</v>
      </c>
      <c r="D113" s="15">
        <v>1009</v>
      </c>
      <c r="E113" s="15">
        <v>0</v>
      </c>
      <c r="F113" s="14">
        <v>30</v>
      </c>
      <c r="G113" s="16" t="s">
        <v>550</v>
      </c>
      <c r="H113" s="14" t="s">
        <v>626</v>
      </c>
      <c r="J113" s="14">
        <v>30</v>
      </c>
    </row>
    <row r="114" spans="1:11" x14ac:dyDescent="0.25">
      <c r="A114" s="14">
        <v>111</v>
      </c>
      <c r="B114" s="36">
        <v>72</v>
      </c>
      <c r="C114" s="14">
        <v>111</v>
      </c>
      <c r="D114" s="15">
        <v>1</v>
      </c>
      <c r="E114" s="15">
        <v>15</v>
      </c>
      <c r="F114" s="14">
        <v>1</v>
      </c>
      <c r="G114" s="16" t="s">
        <v>539</v>
      </c>
      <c r="H114" s="14" t="s">
        <v>624</v>
      </c>
      <c r="J114" s="14">
        <v>1</v>
      </c>
    </row>
    <row r="115" spans="1:11" x14ac:dyDescent="0.25">
      <c r="A115" s="14">
        <v>112</v>
      </c>
      <c r="B115" s="36">
        <v>72</v>
      </c>
      <c r="C115" s="14">
        <v>112</v>
      </c>
      <c r="D115" s="15">
        <v>1009</v>
      </c>
      <c r="E115" s="15">
        <v>0</v>
      </c>
      <c r="F115" s="14">
        <v>30</v>
      </c>
      <c r="G115" s="16" t="s">
        <v>550</v>
      </c>
      <c r="H115" s="14" t="s">
        <v>626</v>
      </c>
      <c r="J115" s="14">
        <v>30</v>
      </c>
    </row>
    <row r="116" spans="1:11" ht="16.5" x14ac:dyDescent="0.25">
      <c r="A116" s="14">
        <v>113</v>
      </c>
      <c r="B116" s="36">
        <v>73</v>
      </c>
      <c r="C116" s="14">
        <v>113</v>
      </c>
      <c r="D116" s="15">
        <v>6</v>
      </c>
      <c r="E116" s="15">
        <v>0</v>
      </c>
      <c r="F116" s="14">
        <v>15</v>
      </c>
      <c r="G116" s="16" t="s">
        <v>542</v>
      </c>
      <c r="H116" s="14" t="s">
        <v>627</v>
      </c>
      <c r="J116" s="14">
        <v>2</v>
      </c>
      <c r="K116" s="38" t="s">
        <v>1124</v>
      </c>
    </row>
    <row r="117" spans="1:11" x14ac:dyDescent="0.25">
      <c r="A117" s="14">
        <v>114</v>
      </c>
      <c r="B117" s="36">
        <v>74</v>
      </c>
      <c r="C117" s="14">
        <v>114</v>
      </c>
      <c r="D117" s="15">
        <v>1</v>
      </c>
      <c r="E117" s="15">
        <v>15</v>
      </c>
      <c r="F117" s="14">
        <v>1</v>
      </c>
      <c r="G117" s="16" t="s">
        <v>539</v>
      </c>
      <c r="H117" s="14" t="s">
        <v>624</v>
      </c>
      <c r="J117" s="14">
        <v>1</v>
      </c>
    </row>
    <row r="118" spans="1:11" x14ac:dyDescent="0.25">
      <c r="A118" s="14">
        <v>115</v>
      </c>
      <c r="B118" s="36">
        <v>74</v>
      </c>
      <c r="C118" s="14">
        <v>115</v>
      </c>
      <c r="D118" s="15">
        <v>2</v>
      </c>
      <c r="E118" s="15">
        <v>18</v>
      </c>
      <c r="F118" s="14">
        <v>5</v>
      </c>
      <c r="G118" s="16" t="s">
        <v>540</v>
      </c>
      <c r="H118" s="14" t="s">
        <v>628</v>
      </c>
      <c r="J118" s="14">
        <v>5</v>
      </c>
    </row>
    <row r="119" spans="1:11" ht="16.5" x14ac:dyDescent="0.25">
      <c r="A119" s="14">
        <v>116</v>
      </c>
      <c r="B119" s="36">
        <v>75</v>
      </c>
      <c r="C119" s="14">
        <v>116</v>
      </c>
      <c r="D119" s="15">
        <v>6</v>
      </c>
      <c r="E119" s="15">
        <v>0</v>
      </c>
      <c r="F119" s="14">
        <v>7</v>
      </c>
      <c r="G119" s="16" t="s">
        <v>542</v>
      </c>
      <c r="H119" s="25" t="s">
        <v>1125</v>
      </c>
      <c r="I119" s="25"/>
      <c r="J119" s="14">
        <v>2</v>
      </c>
      <c r="K119" s="38" t="s">
        <v>1124</v>
      </c>
    </row>
    <row r="120" spans="1:11" ht="16.5" x14ac:dyDescent="0.25">
      <c r="A120" s="14">
        <v>117</v>
      </c>
      <c r="B120" s="36">
        <v>76</v>
      </c>
      <c r="C120" s="14">
        <v>117</v>
      </c>
      <c r="D120" s="15">
        <v>8</v>
      </c>
      <c r="E120" s="15">
        <v>0</v>
      </c>
      <c r="F120" s="14">
        <v>200</v>
      </c>
      <c r="G120" s="16" t="s">
        <v>495</v>
      </c>
      <c r="H120" s="14" t="s">
        <v>629</v>
      </c>
      <c r="J120" s="14">
        <v>5</v>
      </c>
      <c r="K120" s="25" t="s">
        <v>1100</v>
      </c>
    </row>
    <row r="121" spans="1:11" x14ac:dyDescent="0.25">
      <c r="A121" s="14">
        <v>118</v>
      </c>
      <c r="B121" s="36">
        <v>77</v>
      </c>
      <c r="C121" s="14">
        <v>118</v>
      </c>
      <c r="D121" s="15">
        <v>1</v>
      </c>
      <c r="E121" s="15">
        <v>18</v>
      </c>
      <c r="F121" s="14">
        <v>1</v>
      </c>
      <c r="G121" s="16" t="s">
        <v>539</v>
      </c>
      <c r="H121" s="14" t="s">
        <v>610</v>
      </c>
      <c r="J121" s="14">
        <v>1</v>
      </c>
    </row>
    <row r="122" spans="1:11" x14ac:dyDescent="0.25">
      <c r="A122" s="14">
        <v>119</v>
      </c>
      <c r="B122" s="36">
        <v>78</v>
      </c>
      <c r="C122" s="14">
        <v>119</v>
      </c>
      <c r="D122" s="15">
        <v>1</v>
      </c>
      <c r="E122" s="15">
        <v>18</v>
      </c>
      <c r="F122" s="14">
        <v>1</v>
      </c>
      <c r="G122" s="16" t="s">
        <v>539</v>
      </c>
      <c r="H122" s="14" t="s">
        <v>610</v>
      </c>
      <c r="J122" s="14">
        <v>1</v>
      </c>
    </row>
    <row r="123" spans="1:11" x14ac:dyDescent="0.25">
      <c r="A123" s="14">
        <v>120</v>
      </c>
      <c r="B123" s="36">
        <v>79</v>
      </c>
      <c r="C123" s="14">
        <v>120</v>
      </c>
      <c r="D123" s="15">
        <v>1</v>
      </c>
      <c r="E123" s="15">
        <v>18</v>
      </c>
      <c r="F123" s="14">
        <v>1</v>
      </c>
      <c r="G123" s="16" t="s">
        <v>539</v>
      </c>
      <c r="H123" s="14" t="s">
        <v>610</v>
      </c>
      <c r="J123" s="14">
        <v>1</v>
      </c>
    </row>
    <row r="124" spans="1:11" ht="16.5" x14ac:dyDescent="0.25">
      <c r="A124" s="14">
        <v>121</v>
      </c>
      <c r="B124" s="36">
        <v>79</v>
      </c>
      <c r="C124" s="14">
        <v>121</v>
      </c>
      <c r="D124" s="15">
        <v>34</v>
      </c>
      <c r="E124" s="15">
        <v>0</v>
      </c>
      <c r="F124" s="14">
        <v>200000</v>
      </c>
      <c r="G124" s="16" t="s">
        <v>543</v>
      </c>
      <c r="H124" s="14" t="s">
        <v>618</v>
      </c>
      <c r="J124" s="14">
        <v>70</v>
      </c>
      <c r="K124" s="25" t="s">
        <v>1101</v>
      </c>
    </row>
    <row r="125" spans="1:11" x14ac:dyDescent="0.25">
      <c r="A125" s="14">
        <v>122</v>
      </c>
      <c r="B125" s="36">
        <v>80</v>
      </c>
      <c r="C125" s="14">
        <v>122</v>
      </c>
      <c r="D125" s="15">
        <v>1</v>
      </c>
      <c r="E125" s="15">
        <v>18</v>
      </c>
      <c r="F125" s="14">
        <v>1</v>
      </c>
      <c r="G125" s="16" t="s">
        <v>539</v>
      </c>
      <c r="H125" s="14" t="s">
        <v>610</v>
      </c>
      <c r="J125" s="14">
        <v>1</v>
      </c>
    </row>
    <row r="126" spans="1:11" x14ac:dyDescent="0.25">
      <c r="A126" s="14">
        <v>123</v>
      </c>
      <c r="B126" s="36">
        <v>80</v>
      </c>
      <c r="C126" s="14">
        <v>123</v>
      </c>
      <c r="D126" s="15">
        <v>4</v>
      </c>
      <c r="E126" s="15">
        <v>105</v>
      </c>
      <c r="F126" s="14">
        <v>15</v>
      </c>
      <c r="G126" s="16" t="s">
        <v>541</v>
      </c>
      <c r="H126" s="14" t="s">
        <v>633</v>
      </c>
      <c r="J126" s="14">
        <v>15</v>
      </c>
    </row>
    <row r="127" spans="1:11" x14ac:dyDescent="0.25">
      <c r="A127" s="14">
        <v>124</v>
      </c>
      <c r="B127" s="36">
        <v>81</v>
      </c>
      <c r="C127" s="14">
        <v>124</v>
      </c>
      <c r="D127" s="15">
        <v>1</v>
      </c>
      <c r="E127" s="15">
        <v>18</v>
      </c>
      <c r="F127" s="14">
        <v>1</v>
      </c>
      <c r="G127" s="16" t="s">
        <v>539</v>
      </c>
      <c r="H127" s="14" t="s">
        <v>610</v>
      </c>
      <c r="J127" s="14">
        <v>1</v>
      </c>
    </row>
    <row r="128" spans="1:11" x14ac:dyDescent="0.25">
      <c r="A128" s="14">
        <v>125</v>
      </c>
      <c r="B128" s="36">
        <v>81</v>
      </c>
      <c r="C128" s="14">
        <v>125</v>
      </c>
      <c r="D128" s="15">
        <v>1001</v>
      </c>
      <c r="E128" s="15">
        <v>0</v>
      </c>
      <c r="F128" s="14">
        <v>250</v>
      </c>
      <c r="G128" s="16" t="s">
        <v>552</v>
      </c>
      <c r="H128" s="14" t="s">
        <v>634</v>
      </c>
      <c r="J128" s="14">
        <v>250</v>
      </c>
    </row>
    <row r="129" spans="1:11" ht="16.5" x14ac:dyDescent="0.25">
      <c r="A129" s="14">
        <v>126</v>
      </c>
      <c r="B129" s="36">
        <v>82</v>
      </c>
      <c r="C129" s="14">
        <v>126</v>
      </c>
      <c r="D129" s="15">
        <v>6</v>
      </c>
      <c r="E129" s="15">
        <v>0</v>
      </c>
      <c r="F129" s="14">
        <v>10</v>
      </c>
      <c r="G129" s="16" t="s">
        <v>542</v>
      </c>
      <c r="H129" s="14" t="s">
        <v>635</v>
      </c>
      <c r="J129" s="14">
        <v>3</v>
      </c>
      <c r="K129" s="38" t="s">
        <v>1126</v>
      </c>
    </row>
    <row r="130" spans="1:11" x14ac:dyDescent="0.25">
      <c r="A130" s="14">
        <v>127</v>
      </c>
      <c r="B130" s="36">
        <v>83</v>
      </c>
      <c r="C130" s="14">
        <v>127</v>
      </c>
      <c r="D130" s="15">
        <v>1</v>
      </c>
      <c r="E130" s="15">
        <v>13</v>
      </c>
      <c r="F130" s="14">
        <v>1</v>
      </c>
      <c r="G130" s="16" t="s">
        <v>539</v>
      </c>
      <c r="H130" s="14" t="s">
        <v>637</v>
      </c>
      <c r="J130" s="14">
        <v>1</v>
      </c>
    </row>
    <row r="131" spans="1:11" x14ac:dyDescent="0.25">
      <c r="A131" s="14">
        <v>128</v>
      </c>
      <c r="B131" s="36">
        <v>83</v>
      </c>
      <c r="C131" s="14">
        <v>128</v>
      </c>
      <c r="D131" s="15">
        <v>1001</v>
      </c>
      <c r="E131" s="15">
        <v>0</v>
      </c>
      <c r="F131" s="14">
        <v>45</v>
      </c>
      <c r="G131" s="16" t="s">
        <v>552</v>
      </c>
      <c r="H131" s="14" t="s">
        <v>638</v>
      </c>
      <c r="J131" s="14">
        <v>45</v>
      </c>
    </row>
    <row r="132" spans="1:11" x14ac:dyDescent="0.25">
      <c r="A132" s="14">
        <v>129</v>
      </c>
      <c r="B132" s="36">
        <v>84</v>
      </c>
      <c r="C132" s="14">
        <v>129</v>
      </c>
      <c r="D132" s="15">
        <v>1</v>
      </c>
      <c r="E132" s="15">
        <v>13</v>
      </c>
      <c r="F132" s="14">
        <v>1</v>
      </c>
      <c r="G132" s="16" t="s">
        <v>539</v>
      </c>
      <c r="H132" s="14" t="s">
        <v>637</v>
      </c>
      <c r="J132" s="14">
        <v>1</v>
      </c>
    </row>
    <row r="133" spans="1:11" x14ac:dyDescent="0.25">
      <c r="A133" s="14">
        <v>130</v>
      </c>
      <c r="B133" s="36">
        <v>84</v>
      </c>
      <c r="C133" s="14">
        <v>130</v>
      </c>
      <c r="D133" s="15">
        <v>1001</v>
      </c>
      <c r="E133" s="15">
        <v>0</v>
      </c>
      <c r="F133" s="14">
        <v>45</v>
      </c>
      <c r="G133" s="16" t="s">
        <v>552</v>
      </c>
      <c r="H133" s="14" t="s">
        <v>638</v>
      </c>
      <c r="J133" s="14">
        <v>45</v>
      </c>
    </row>
    <row r="134" spans="1:11" x14ac:dyDescent="0.25">
      <c r="A134" s="14">
        <v>131</v>
      </c>
      <c r="B134" s="36">
        <v>85</v>
      </c>
      <c r="C134" s="14">
        <v>131</v>
      </c>
      <c r="D134" s="15">
        <v>1</v>
      </c>
      <c r="E134" s="15">
        <v>13</v>
      </c>
      <c r="F134" s="14">
        <v>1</v>
      </c>
      <c r="G134" s="16" t="s">
        <v>539</v>
      </c>
      <c r="H134" s="14" t="s">
        <v>637</v>
      </c>
      <c r="J134" s="14">
        <v>1</v>
      </c>
    </row>
    <row r="135" spans="1:11" x14ac:dyDescent="0.25">
      <c r="A135" s="14">
        <v>132</v>
      </c>
      <c r="B135" s="36">
        <v>85</v>
      </c>
      <c r="C135" s="14">
        <v>132</v>
      </c>
      <c r="D135" s="15">
        <v>1001</v>
      </c>
      <c r="E135" s="15">
        <v>0</v>
      </c>
      <c r="F135" s="14">
        <v>45</v>
      </c>
      <c r="G135" s="16" t="s">
        <v>552</v>
      </c>
      <c r="H135" s="14" t="s">
        <v>638</v>
      </c>
      <c r="J135" s="14">
        <v>45</v>
      </c>
    </row>
    <row r="136" spans="1:11" x14ac:dyDescent="0.25">
      <c r="A136" s="14">
        <v>133</v>
      </c>
      <c r="B136" s="36">
        <v>86</v>
      </c>
      <c r="C136" s="14">
        <v>133</v>
      </c>
      <c r="D136" s="15">
        <v>1</v>
      </c>
      <c r="E136" s="15">
        <v>13</v>
      </c>
      <c r="F136" s="14">
        <v>1</v>
      </c>
      <c r="G136" s="16" t="s">
        <v>539</v>
      </c>
      <c r="H136" s="14" t="s">
        <v>637</v>
      </c>
      <c r="J136" s="14">
        <v>1</v>
      </c>
    </row>
    <row r="137" spans="1:11" x14ac:dyDescent="0.25">
      <c r="A137" s="14">
        <v>134</v>
      </c>
      <c r="B137" s="36">
        <v>86</v>
      </c>
      <c r="C137" s="14">
        <v>134</v>
      </c>
      <c r="D137" s="15">
        <v>1001</v>
      </c>
      <c r="E137" s="15">
        <v>0</v>
      </c>
      <c r="F137" s="14">
        <v>45</v>
      </c>
      <c r="G137" s="16" t="s">
        <v>552</v>
      </c>
      <c r="H137" s="14" t="s">
        <v>638</v>
      </c>
      <c r="J137" s="14">
        <v>45</v>
      </c>
    </row>
    <row r="138" spans="1:11" ht="16.5" x14ac:dyDescent="0.25">
      <c r="A138" s="14">
        <v>135</v>
      </c>
      <c r="B138" s="36">
        <v>87</v>
      </c>
      <c r="C138" s="14">
        <v>135</v>
      </c>
      <c r="D138" s="15">
        <v>103</v>
      </c>
      <c r="E138" s="15">
        <v>0</v>
      </c>
      <c r="F138" s="14">
        <v>200</v>
      </c>
      <c r="G138" s="16" t="s">
        <v>553</v>
      </c>
      <c r="H138" s="14" t="s">
        <v>642</v>
      </c>
      <c r="J138" s="14">
        <v>1</v>
      </c>
      <c r="K138" s="25" t="s">
        <v>1102</v>
      </c>
    </row>
    <row r="139" spans="1:11" x14ac:dyDescent="0.25">
      <c r="A139" s="14">
        <v>136</v>
      </c>
      <c r="B139" s="36">
        <v>88</v>
      </c>
      <c r="C139" s="14">
        <v>136</v>
      </c>
      <c r="D139" s="15">
        <v>1</v>
      </c>
      <c r="E139" s="15">
        <v>14</v>
      </c>
      <c r="F139" s="14">
        <v>1</v>
      </c>
      <c r="G139" s="16" t="s">
        <v>539</v>
      </c>
      <c r="H139" s="14" t="s">
        <v>596</v>
      </c>
      <c r="J139" s="14">
        <v>1</v>
      </c>
    </row>
    <row r="140" spans="1:11" x14ac:dyDescent="0.25">
      <c r="A140" s="14">
        <v>137</v>
      </c>
      <c r="B140" s="36">
        <v>88</v>
      </c>
      <c r="C140" s="14">
        <v>137</v>
      </c>
      <c r="D140" s="15">
        <v>1001</v>
      </c>
      <c r="E140" s="15">
        <v>0</v>
      </c>
      <c r="F140" s="14">
        <v>50</v>
      </c>
      <c r="G140" s="16" t="s">
        <v>552</v>
      </c>
      <c r="H140" s="14" t="s">
        <v>597</v>
      </c>
      <c r="J140" s="14">
        <v>50</v>
      </c>
    </row>
    <row r="141" spans="1:11" x14ac:dyDescent="0.25">
      <c r="A141" s="14">
        <v>138</v>
      </c>
      <c r="B141" s="36">
        <v>89</v>
      </c>
      <c r="C141" s="14">
        <v>138</v>
      </c>
      <c r="D141" s="15">
        <v>1004</v>
      </c>
      <c r="E141" s="15">
        <v>0</v>
      </c>
      <c r="F141" s="14">
        <v>20</v>
      </c>
      <c r="G141" s="16" t="s">
        <v>551</v>
      </c>
      <c r="H141" s="14" t="s">
        <v>640</v>
      </c>
      <c r="J141" s="14">
        <v>20</v>
      </c>
    </row>
    <row r="142" spans="1:11" x14ac:dyDescent="0.25">
      <c r="A142" s="14">
        <v>139</v>
      </c>
      <c r="B142" s="36">
        <v>90</v>
      </c>
      <c r="C142" s="14">
        <v>139</v>
      </c>
      <c r="D142" s="15">
        <v>1</v>
      </c>
      <c r="E142" s="15">
        <v>14</v>
      </c>
      <c r="F142" s="14">
        <v>1</v>
      </c>
      <c r="G142" s="16" t="s">
        <v>539</v>
      </c>
      <c r="H142" s="14" t="s">
        <v>596</v>
      </c>
      <c r="J142" s="14">
        <v>1</v>
      </c>
    </row>
    <row r="143" spans="1:11" x14ac:dyDescent="0.25">
      <c r="A143" s="14">
        <v>140</v>
      </c>
      <c r="B143" s="36">
        <v>90</v>
      </c>
      <c r="C143" s="14">
        <v>140</v>
      </c>
      <c r="D143" s="15">
        <v>1001</v>
      </c>
      <c r="E143" s="15">
        <v>0</v>
      </c>
      <c r="F143" s="14">
        <v>50</v>
      </c>
      <c r="G143" s="16" t="s">
        <v>552</v>
      </c>
      <c r="H143" s="14" t="s">
        <v>597</v>
      </c>
      <c r="J143" s="14">
        <v>50</v>
      </c>
    </row>
    <row r="144" spans="1:11" ht="16.5" x14ac:dyDescent="0.25">
      <c r="A144" s="14">
        <v>141</v>
      </c>
      <c r="B144" s="36">
        <v>91</v>
      </c>
      <c r="C144" s="14">
        <v>141</v>
      </c>
      <c r="D144" s="15">
        <v>103</v>
      </c>
      <c r="E144" s="15">
        <v>0</v>
      </c>
      <c r="F144" s="14">
        <v>100</v>
      </c>
      <c r="G144" s="16" t="s">
        <v>553</v>
      </c>
      <c r="H144" s="14" t="s">
        <v>608</v>
      </c>
      <c r="J144" s="14">
        <v>2</v>
      </c>
      <c r="K144" s="25" t="s">
        <v>1103</v>
      </c>
    </row>
    <row r="145" spans="1:11" x14ac:dyDescent="0.25">
      <c r="A145" s="14">
        <v>142</v>
      </c>
      <c r="B145" s="36">
        <v>92</v>
      </c>
      <c r="C145" s="14">
        <v>142</v>
      </c>
      <c r="D145" s="15">
        <v>1</v>
      </c>
      <c r="E145" s="15">
        <v>14</v>
      </c>
      <c r="F145" s="14">
        <v>1</v>
      </c>
      <c r="G145" s="16" t="s">
        <v>539</v>
      </c>
      <c r="H145" s="14" t="s">
        <v>596</v>
      </c>
      <c r="J145" s="14">
        <v>1</v>
      </c>
    </row>
    <row r="146" spans="1:11" x14ac:dyDescent="0.25">
      <c r="A146" s="14">
        <v>143</v>
      </c>
      <c r="B146" s="36">
        <v>92</v>
      </c>
      <c r="C146" s="14">
        <v>143</v>
      </c>
      <c r="D146" s="15">
        <v>1001</v>
      </c>
      <c r="E146" s="15">
        <v>0</v>
      </c>
      <c r="F146" s="14">
        <v>50</v>
      </c>
      <c r="G146" s="16" t="s">
        <v>552</v>
      </c>
      <c r="H146" s="14" t="s">
        <v>597</v>
      </c>
      <c r="J146" s="14">
        <v>50</v>
      </c>
    </row>
    <row r="147" spans="1:11" x14ac:dyDescent="0.25">
      <c r="A147" s="14">
        <v>144</v>
      </c>
      <c r="B147" s="36">
        <v>93</v>
      </c>
      <c r="C147" s="14">
        <v>144</v>
      </c>
      <c r="D147" s="15">
        <v>1</v>
      </c>
      <c r="E147" s="15">
        <v>14</v>
      </c>
      <c r="F147" s="14">
        <v>1</v>
      </c>
      <c r="G147" s="16" t="s">
        <v>539</v>
      </c>
      <c r="H147" s="14" t="s">
        <v>596</v>
      </c>
      <c r="J147" s="14">
        <v>1</v>
      </c>
    </row>
    <row r="148" spans="1:11" x14ac:dyDescent="0.25">
      <c r="A148" s="14">
        <v>145</v>
      </c>
      <c r="B148" s="36">
        <v>93</v>
      </c>
      <c r="C148" s="14">
        <v>145</v>
      </c>
      <c r="D148" s="15">
        <v>1001</v>
      </c>
      <c r="E148" s="15">
        <v>0</v>
      </c>
      <c r="F148" s="14">
        <v>50</v>
      </c>
      <c r="G148" s="16" t="s">
        <v>552</v>
      </c>
      <c r="H148" s="14" t="s">
        <v>597</v>
      </c>
      <c r="J148" s="14">
        <v>50</v>
      </c>
    </row>
    <row r="149" spans="1:11" x14ac:dyDescent="0.25">
      <c r="A149" s="14">
        <v>146</v>
      </c>
      <c r="B149" s="36">
        <v>94</v>
      </c>
      <c r="C149" s="14">
        <v>146</v>
      </c>
      <c r="D149" s="15">
        <v>1</v>
      </c>
      <c r="E149" s="15">
        <v>14</v>
      </c>
      <c r="F149" s="14">
        <v>1</v>
      </c>
      <c r="G149" s="16" t="s">
        <v>539</v>
      </c>
      <c r="H149" s="14" t="s">
        <v>596</v>
      </c>
      <c r="J149" s="14">
        <v>1</v>
      </c>
    </row>
    <row r="150" spans="1:11" x14ac:dyDescent="0.25">
      <c r="A150" s="14">
        <v>147</v>
      </c>
      <c r="B150" s="36">
        <v>94</v>
      </c>
      <c r="C150" s="14">
        <v>147</v>
      </c>
      <c r="D150" s="15">
        <v>1001</v>
      </c>
      <c r="E150" s="15">
        <v>0</v>
      </c>
      <c r="F150" s="14">
        <v>55</v>
      </c>
      <c r="G150" s="16" t="s">
        <v>552</v>
      </c>
      <c r="H150" s="14" t="s">
        <v>609</v>
      </c>
      <c r="J150" s="14">
        <v>55</v>
      </c>
    </row>
    <row r="151" spans="1:11" ht="16.5" x14ac:dyDescent="0.25">
      <c r="A151" s="14">
        <v>148</v>
      </c>
      <c r="B151" s="36">
        <v>95</v>
      </c>
      <c r="C151" s="14">
        <v>148</v>
      </c>
      <c r="D151" s="15">
        <v>80</v>
      </c>
      <c r="E151" s="15">
        <v>0</v>
      </c>
      <c r="F151" s="14">
        <v>10000</v>
      </c>
      <c r="G151" s="16" t="s">
        <v>544</v>
      </c>
      <c r="H151" s="14" t="s">
        <v>611</v>
      </c>
      <c r="J151" s="14">
        <v>100</v>
      </c>
      <c r="K151" s="25" t="s">
        <v>1104</v>
      </c>
    </row>
    <row r="152" spans="1:11" x14ac:dyDescent="0.25">
      <c r="A152" s="14">
        <v>149</v>
      </c>
      <c r="B152" s="36">
        <v>96</v>
      </c>
      <c r="C152" s="14">
        <v>149</v>
      </c>
      <c r="D152" s="15">
        <v>1</v>
      </c>
      <c r="E152" s="15">
        <v>17</v>
      </c>
      <c r="F152" s="14">
        <v>1</v>
      </c>
      <c r="G152" s="16" t="s">
        <v>539</v>
      </c>
      <c r="H152" s="14" t="s">
        <v>602</v>
      </c>
      <c r="J152" s="14">
        <v>1</v>
      </c>
    </row>
    <row r="153" spans="1:11" x14ac:dyDescent="0.25">
      <c r="A153" s="14">
        <v>150</v>
      </c>
      <c r="B153" s="36">
        <v>97</v>
      </c>
      <c r="C153" s="14">
        <v>150</v>
      </c>
      <c r="D153" s="15">
        <v>1</v>
      </c>
      <c r="E153" s="15">
        <v>17</v>
      </c>
      <c r="F153" s="14">
        <v>1</v>
      </c>
      <c r="G153" s="16" t="s">
        <v>539</v>
      </c>
      <c r="H153" s="14" t="s">
        <v>602</v>
      </c>
      <c r="J153" s="14">
        <v>1</v>
      </c>
    </row>
    <row r="154" spans="1:11" x14ac:dyDescent="0.25">
      <c r="A154" s="14">
        <v>151</v>
      </c>
      <c r="B154" s="36">
        <v>98</v>
      </c>
      <c r="C154" s="14">
        <v>151</v>
      </c>
      <c r="D154" s="15">
        <v>1</v>
      </c>
      <c r="E154" s="15">
        <v>17</v>
      </c>
      <c r="F154" s="14">
        <v>1</v>
      </c>
      <c r="G154" s="16" t="s">
        <v>539</v>
      </c>
      <c r="H154" s="14" t="s">
        <v>602</v>
      </c>
      <c r="J154" s="14">
        <v>1</v>
      </c>
    </row>
    <row r="155" spans="1:11" x14ac:dyDescent="0.25">
      <c r="A155" s="14">
        <v>152</v>
      </c>
      <c r="B155" s="36">
        <v>98</v>
      </c>
      <c r="C155" s="14">
        <v>152</v>
      </c>
      <c r="D155" s="15">
        <v>11</v>
      </c>
      <c r="E155" s="15">
        <v>0</v>
      </c>
      <c r="F155" s="14">
        <v>75</v>
      </c>
      <c r="G155" s="16" t="s">
        <v>1087</v>
      </c>
      <c r="H155" s="14" t="s">
        <v>603</v>
      </c>
      <c r="J155" s="14">
        <v>75</v>
      </c>
    </row>
    <row r="156" spans="1:11" x14ac:dyDescent="0.25">
      <c r="A156" s="14">
        <v>153</v>
      </c>
      <c r="B156" s="36">
        <v>99</v>
      </c>
      <c r="C156" s="14">
        <v>153</v>
      </c>
      <c r="D156" s="15">
        <v>1</v>
      </c>
      <c r="E156" s="15">
        <v>17</v>
      </c>
      <c r="F156" s="14">
        <v>1</v>
      </c>
      <c r="G156" s="16" t="s">
        <v>539</v>
      </c>
      <c r="H156" s="14" t="s">
        <v>602</v>
      </c>
      <c r="J156" s="14">
        <v>1</v>
      </c>
    </row>
    <row r="157" spans="1:11" x14ac:dyDescent="0.25">
      <c r="A157" s="14">
        <v>154</v>
      </c>
      <c r="B157" s="36">
        <v>99</v>
      </c>
      <c r="C157" s="14">
        <v>154</v>
      </c>
      <c r="D157" s="14">
        <v>1004</v>
      </c>
      <c r="E157" s="14">
        <v>0</v>
      </c>
      <c r="F157" s="14">
        <v>11</v>
      </c>
      <c r="G157" s="14" t="s">
        <v>551</v>
      </c>
      <c r="H157" s="14" t="s">
        <v>604</v>
      </c>
      <c r="J157" s="14">
        <v>11</v>
      </c>
    </row>
    <row r="158" spans="1:11" x14ac:dyDescent="0.25">
      <c r="A158" s="14">
        <v>155</v>
      </c>
      <c r="B158" s="36">
        <v>100</v>
      </c>
      <c r="C158" s="14">
        <v>155</v>
      </c>
      <c r="D158" s="14">
        <v>1</v>
      </c>
      <c r="E158" s="14">
        <v>17</v>
      </c>
      <c r="F158" s="14">
        <v>1</v>
      </c>
      <c r="G158" s="14" t="s">
        <v>539</v>
      </c>
      <c r="H158" s="14" t="s">
        <v>602</v>
      </c>
      <c r="J158" s="14">
        <v>1</v>
      </c>
    </row>
    <row r="159" spans="1:11" x14ac:dyDescent="0.25">
      <c r="A159" s="14">
        <v>156</v>
      </c>
      <c r="B159" s="36">
        <v>100</v>
      </c>
      <c r="C159" s="14">
        <v>156</v>
      </c>
      <c r="D159" s="14">
        <v>1001</v>
      </c>
      <c r="E159" s="14">
        <v>0</v>
      </c>
      <c r="F159" s="14">
        <v>200</v>
      </c>
      <c r="G159" s="14" t="s">
        <v>552</v>
      </c>
      <c r="H159" s="14" t="s">
        <v>605</v>
      </c>
      <c r="J159" s="14">
        <v>200</v>
      </c>
    </row>
    <row r="160" spans="1:11" x14ac:dyDescent="0.25">
      <c r="A160" s="14">
        <v>157</v>
      </c>
      <c r="B160" s="36">
        <v>101</v>
      </c>
      <c r="C160" s="14">
        <v>157</v>
      </c>
      <c r="D160" s="14">
        <v>1</v>
      </c>
      <c r="E160" s="14">
        <v>14</v>
      </c>
      <c r="F160" s="14">
        <v>1</v>
      </c>
      <c r="G160" s="14" t="s">
        <v>539</v>
      </c>
      <c r="H160" s="14" t="s">
        <v>596</v>
      </c>
      <c r="J160" s="14">
        <v>1</v>
      </c>
    </row>
    <row r="161" spans="1:11" x14ac:dyDescent="0.25">
      <c r="A161" s="14">
        <v>158</v>
      </c>
      <c r="B161" s="36">
        <v>101</v>
      </c>
      <c r="C161" s="14">
        <v>158</v>
      </c>
      <c r="D161" s="14">
        <v>1001</v>
      </c>
      <c r="E161" s="14">
        <v>0</v>
      </c>
      <c r="F161" s="14">
        <v>60</v>
      </c>
      <c r="G161" s="14" t="s">
        <v>552</v>
      </c>
      <c r="H161" s="14" t="s">
        <v>630</v>
      </c>
      <c r="J161" s="14">
        <v>60</v>
      </c>
    </row>
    <row r="162" spans="1:11" x14ac:dyDescent="0.25">
      <c r="A162" s="14">
        <v>159</v>
      </c>
      <c r="B162" s="36">
        <v>102</v>
      </c>
      <c r="C162" s="14">
        <v>159</v>
      </c>
      <c r="D162" s="14">
        <v>1</v>
      </c>
      <c r="E162" s="14">
        <v>14</v>
      </c>
      <c r="F162" s="14">
        <v>1</v>
      </c>
      <c r="G162" s="14" t="s">
        <v>539</v>
      </c>
      <c r="H162" s="14" t="s">
        <v>596</v>
      </c>
      <c r="J162" s="14">
        <v>1</v>
      </c>
    </row>
    <row r="163" spans="1:11" x14ac:dyDescent="0.25">
      <c r="A163" s="14">
        <v>160</v>
      </c>
      <c r="B163" s="36">
        <v>102</v>
      </c>
      <c r="C163" s="14">
        <v>160</v>
      </c>
      <c r="D163" s="14">
        <v>1001</v>
      </c>
      <c r="E163" s="14">
        <v>0</v>
      </c>
      <c r="F163" s="14">
        <v>60</v>
      </c>
      <c r="G163" s="14" t="s">
        <v>552</v>
      </c>
      <c r="H163" s="14" t="s">
        <v>630</v>
      </c>
      <c r="J163" s="14">
        <v>60</v>
      </c>
    </row>
    <row r="164" spans="1:11" ht="16.5" x14ac:dyDescent="0.25">
      <c r="A164" s="14">
        <v>161</v>
      </c>
      <c r="B164" s="36">
        <v>103</v>
      </c>
      <c r="C164" s="14">
        <v>161</v>
      </c>
      <c r="D164" s="14">
        <v>20</v>
      </c>
      <c r="E164" s="14">
        <v>0</v>
      </c>
      <c r="F164" s="14">
        <v>200</v>
      </c>
      <c r="G164" s="14" t="s">
        <v>545</v>
      </c>
      <c r="H164" s="14" t="s">
        <v>631</v>
      </c>
      <c r="J164" s="14">
        <v>4</v>
      </c>
      <c r="K164" s="25" t="s">
        <v>1105</v>
      </c>
    </row>
    <row r="165" spans="1:11" x14ac:dyDescent="0.25">
      <c r="A165" s="14">
        <v>162</v>
      </c>
      <c r="B165" s="36">
        <v>104</v>
      </c>
      <c r="C165" s="14">
        <v>162</v>
      </c>
      <c r="D165" s="14">
        <v>1</v>
      </c>
      <c r="E165" s="14">
        <v>19</v>
      </c>
      <c r="F165" s="14">
        <v>1</v>
      </c>
      <c r="G165" s="14" t="s">
        <v>539</v>
      </c>
      <c r="H165" s="14" t="s">
        <v>632</v>
      </c>
      <c r="J165" s="14">
        <v>1</v>
      </c>
    </row>
    <row r="166" spans="1:11" x14ac:dyDescent="0.25">
      <c r="A166" s="14">
        <v>163</v>
      </c>
      <c r="B166" s="36">
        <v>105</v>
      </c>
      <c r="C166" s="14">
        <v>163</v>
      </c>
      <c r="D166" s="14">
        <v>1</v>
      </c>
      <c r="E166" s="14">
        <v>14</v>
      </c>
      <c r="F166" s="14">
        <v>1</v>
      </c>
      <c r="G166" s="14" t="s">
        <v>539</v>
      </c>
      <c r="H166" s="14" t="s">
        <v>596</v>
      </c>
      <c r="J166" s="14">
        <v>1</v>
      </c>
    </row>
    <row r="167" spans="1:11" x14ac:dyDescent="0.25">
      <c r="A167" s="14">
        <v>164</v>
      </c>
      <c r="B167" s="36">
        <v>105</v>
      </c>
      <c r="C167" s="14">
        <v>164</v>
      </c>
      <c r="D167" s="14">
        <v>1001</v>
      </c>
      <c r="E167" s="14">
        <v>0</v>
      </c>
      <c r="F167" s="14">
        <v>65</v>
      </c>
      <c r="G167" s="14" t="s">
        <v>552</v>
      </c>
      <c r="H167" s="14" t="s">
        <v>639</v>
      </c>
      <c r="J167" s="14">
        <v>65</v>
      </c>
    </row>
    <row r="168" spans="1:11" ht="16.5" x14ac:dyDescent="0.25">
      <c r="A168" s="14">
        <v>165</v>
      </c>
      <c r="B168" s="36">
        <v>106</v>
      </c>
      <c r="C168" s="14">
        <v>165</v>
      </c>
      <c r="D168" s="14">
        <v>16</v>
      </c>
      <c r="E168" s="14">
        <v>0</v>
      </c>
      <c r="F168" s="14">
        <v>150</v>
      </c>
      <c r="G168" s="14" t="s">
        <v>546</v>
      </c>
      <c r="H168" s="14" t="s">
        <v>613</v>
      </c>
      <c r="J168" s="14">
        <v>3</v>
      </c>
      <c r="K168" s="25" t="s">
        <v>1106</v>
      </c>
    </row>
    <row r="169" spans="1:11" x14ac:dyDescent="0.25">
      <c r="A169" s="14">
        <v>166</v>
      </c>
      <c r="B169" s="36">
        <v>107</v>
      </c>
      <c r="C169" s="14">
        <v>166</v>
      </c>
      <c r="D169" s="14">
        <v>1</v>
      </c>
      <c r="E169" s="14">
        <v>14</v>
      </c>
      <c r="F169" s="14">
        <v>1</v>
      </c>
      <c r="G169" s="14" t="s">
        <v>539</v>
      </c>
      <c r="H169" s="14" t="s">
        <v>596</v>
      </c>
      <c r="J169" s="14">
        <v>1</v>
      </c>
    </row>
    <row r="170" spans="1:11" x14ac:dyDescent="0.25">
      <c r="A170" s="14">
        <v>167</v>
      </c>
      <c r="B170" s="36">
        <v>107</v>
      </c>
      <c r="C170" s="14">
        <v>167</v>
      </c>
      <c r="D170" s="14">
        <v>1001</v>
      </c>
      <c r="E170" s="14">
        <v>0</v>
      </c>
      <c r="F170" s="14">
        <v>70</v>
      </c>
      <c r="G170" s="14" t="s">
        <v>552</v>
      </c>
      <c r="H170" s="14" t="s">
        <v>614</v>
      </c>
      <c r="J170" s="14">
        <v>70</v>
      </c>
    </row>
    <row r="171" spans="1:11" x14ac:dyDescent="0.25">
      <c r="A171" s="14">
        <v>168</v>
      </c>
      <c r="B171" s="36">
        <v>108</v>
      </c>
      <c r="C171" s="14">
        <v>168</v>
      </c>
      <c r="D171" s="14">
        <v>1</v>
      </c>
      <c r="E171" s="14">
        <v>14</v>
      </c>
      <c r="F171" s="14">
        <v>1</v>
      </c>
      <c r="G171" s="14" t="s">
        <v>539</v>
      </c>
      <c r="H171" s="14" t="s">
        <v>596</v>
      </c>
      <c r="J171" s="14">
        <v>1</v>
      </c>
    </row>
    <row r="172" spans="1:11" x14ac:dyDescent="0.25">
      <c r="A172" s="14">
        <v>169</v>
      </c>
      <c r="B172" s="36">
        <v>108</v>
      </c>
      <c r="C172" s="14">
        <v>169</v>
      </c>
      <c r="D172" s="14">
        <v>11</v>
      </c>
      <c r="E172" s="14">
        <v>0</v>
      </c>
      <c r="F172" s="14">
        <v>78</v>
      </c>
      <c r="G172" s="14" t="s">
        <v>1087</v>
      </c>
      <c r="H172" s="14" t="s">
        <v>615</v>
      </c>
      <c r="J172" s="14">
        <v>78</v>
      </c>
    </row>
    <row r="173" spans="1:11" x14ac:dyDescent="0.25">
      <c r="A173" s="14">
        <v>170</v>
      </c>
      <c r="B173" s="36">
        <v>109</v>
      </c>
      <c r="C173" s="14">
        <v>170</v>
      </c>
      <c r="D173" s="14">
        <v>1</v>
      </c>
      <c r="E173" s="14">
        <v>14</v>
      </c>
      <c r="F173" s="14">
        <v>1</v>
      </c>
      <c r="G173" s="14" t="s">
        <v>539</v>
      </c>
      <c r="H173" s="14" t="s">
        <v>596</v>
      </c>
      <c r="J173" s="14">
        <v>1</v>
      </c>
    </row>
    <row r="174" spans="1:11" x14ac:dyDescent="0.25">
      <c r="A174" s="14">
        <v>171</v>
      </c>
      <c r="B174" s="36">
        <v>109</v>
      </c>
      <c r="C174" s="14">
        <v>171</v>
      </c>
      <c r="D174" s="14">
        <v>1001</v>
      </c>
      <c r="E174" s="14">
        <v>0</v>
      </c>
      <c r="F174" s="14">
        <v>75</v>
      </c>
      <c r="G174" s="14" t="s">
        <v>552</v>
      </c>
      <c r="H174" s="14" t="s">
        <v>616</v>
      </c>
      <c r="J174" s="14">
        <v>75</v>
      </c>
    </row>
    <row r="175" spans="1:11" x14ac:dyDescent="0.25">
      <c r="A175" s="14">
        <v>172</v>
      </c>
      <c r="B175" s="36">
        <v>110</v>
      </c>
      <c r="C175" s="14">
        <v>172</v>
      </c>
      <c r="D175" s="14">
        <v>1</v>
      </c>
      <c r="E175" s="14">
        <v>14</v>
      </c>
      <c r="F175" s="14">
        <v>1</v>
      </c>
      <c r="G175" s="14" t="s">
        <v>539</v>
      </c>
      <c r="H175" s="14" t="s">
        <v>596</v>
      </c>
      <c r="J175" s="14">
        <v>1</v>
      </c>
    </row>
    <row r="176" spans="1:11" x14ac:dyDescent="0.25">
      <c r="A176" s="14">
        <v>173</v>
      </c>
      <c r="B176" s="36">
        <v>110</v>
      </c>
      <c r="C176" s="14">
        <v>173</v>
      </c>
      <c r="D176" s="14">
        <v>1001</v>
      </c>
      <c r="E176" s="14">
        <v>0</v>
      </c>
      <c r="F176" s="14">
        <v>80</v>
      </c>
      <c r="G176" s="14" t="s">
        <v>552</v>
      </c>
      <c r="H176" s="14" t="s">
        <v>617</v>
      </c>
      <c r="J176" s="14">
        <v>80</v>
      </c>
    </row>
    <row r="177" spans="1:11" x14ac:dyDescent="0.25">
      <c r="A177" s="14">
        <v>174</v>
      </c>
      <c r="B177" s="36">
        <v>111</v>
      </c>
      <c r="C177" s="14">
        <v>174</v>
      </c>
      <c r="D177" s="14">
        <v>1</v>
      </c>
      <c r="E177" s="14">
        <v>19</v>
      </c>
      <c r="F177" s="14">
        <v>1</v>
      </c>
      <c r="G177" s="14" t="s">
        <v>539</v>
      </c>
      <c r="H177" s="14" t="s">
        <v>632</v>
      </c>
      <c r="J177" s="14">
        <v>1</v>
      </c>
    </row>
    <row r="178" spans="1:11" x14ac:dyDescent="0.25">
      <c r="A178" s="14">
        <v>175</v>
      </c>
      <c r="B178" s="36">
        <v>111</v>
      </c>
      <c r="C178" s="14">
        <v>175</v>
      </c>
      <c r="D178" s="14">
        <v>11</v>
      </c>
      <c r="E178" s="14">
        <v>0</v>
      </c>
      <c r="F178" s="14">
        <v>99</v>
      </c>
      <c r="G178" s="14" t="s">
        <v>1087</v>
      </c>
      <c r="H178" s="14" t="s">
        <v>636</v>
      </c>
      <c r="J178" s="14">
        <v>99</v>
      </c>
    </row>
    <row r="179" spans="1:11" x14ac:dyDescent="0.25">
      <c r="A179" s="14">
        <v>176</v>
      </c>
      <c r="B179" s="36">
        <v>112</v>
      </c>
      <c r="C179" s="14">
        <v>176</v>
      </c>
      <c r="D179" s="14">
        <v>1</v>
      </c>
      <c r="E179" s="14">
        <v>14</v>
      </c>
      <c r="F179" s="14">
        <v>1</v>
      </c>
      <c r="G179" s="14" t="s">
        <v>539</v>
      </c>
      <c r="H179" s="14" t="s">
        <v>596</v>
      </c>
      <c r="J179" s="14">
        <v>1</v>
      </c>
    </row>
    <row r="180" spans="1:11" x14ac:dyDescent="0.25">
      <c r="A180" s="14">
        <v>177</v>
      </c>
      <c r="B180" s="36">
        <v>112</v>
      </c>
      <c r="C180" s="14">
        <v>177</v>
      </c>
      <c r="D180" s="14">
        <v>11</v>
      </c>
      <c r="E180" s="14">
        <v>0</v>
      </c>
      <c r="F180" s="14">
        <v>70</v>
      </c>
      <c r="G180" s="14" t="s">
        <v>1087</v>
      </c>
      <c r="H180" s="14" t="s">
        <v>643</v>
      </c>
      <c r="J180" s="14">
        <v>70</v>
      </c>
    </row>
    <row r="181" spans="1:11" x14ac:dyDescent="0.25">
      <c r="A181" s="14">
        <v>178</v>
      </c>
      <c r="B181" s="36">
        <v>113</v>
      </c>
      <c r="C181" s="14">
        <v>178</v>
      </c>
      <c r="D181" s="14">
        <v>1</v>
      </c>
      <c r="E181" s="14">
        <v>19</v>
      </c>
      <c r="F181" s="14">
        <v>1</v>
      </c>
      <c r="G181" s="14" t="s">
        <v>539</v>
      </c>
      <c r="H181" s="14" t="s">
        <v>632</v>
      </c>
      <c r="J181" s="14">
        <v>1</v>
      </c>
    </row>
    <row r="182" spans="1:11" x14ac:dyDescent="0.25">
      <c r="A182" s="14">
        <v>179</v>
      </c>
      <c r="B182" s="36">
        <v>113</v>
      </c>
      <c r="C182" s="14">
        <v>179</v>
      </c>
      <c r="D182" s="14">
        <v>4</v>
      </c>
      <c r="E182" s="14">
        <v>90</v>
      </c>
      <c r="F182" s="14">
        <v>10</v>
      </c>
      <c r="G182" s="14" t="s">
        <v>541</v>
      </c>
      <c r="H182" s="14" t="s">
        <v>641</v>
      </c>
      <c r="J182" s="14">
        <v>10</v>
      </c>
    </row>
    <row r="183" spans="1:11" x14ac:dyDescent="0.25">
      <c r="A183" s="14">
        <v>180</v>
      </c>
      <c r="B183" s="36">
        <v>114</v>
      </c>
      <c r="C183" s="14">
        <v>180</v>
      </c>
      <c r="D183" s="14">
        <v>1</v>
      </c>
      <c r="E183" s="14">
        <v>19</v>
      </c>
      <c r="F183" s="14">
        <v>1</v>
      </c>
      <c r="G183" s="14" t="s">
        <v>539</v>
      </c>
      <c r="H183" s="14" t="s">
        <v>632</v>
      </c>
      <c r="J183" s="14">
        <v>1</v>
      </c>
    </row>
    <row r="184" spans="1:11" ht="16.5" x14ac:dyDescent="0.25">
      <c r="A184" s="14">
        <v>181</v>
      </c>
      <c r="B184" s="36">
        <v>114</v>
      </c>
      <c r="C184" s="14">
        <v>181</v>
      </c>
      <c r="D184" s="14">
        <v>1009</v>
      </c>
      <c r="E184" s="14">
        <v>0</v>
      </c>
      <c r="F184" s="14">
        <v>50</v>
      </c>
      <c r="G184" s="14" t="s">
        <v>550</v>
      </c>
      <c r="H184" s="14" t="s">
        <v>644</v>
      </c>
      <c r="J184" s="14">
        <v>5</v>
      </c>
      <c r="K184" s="25" t="s">
        <v>1107</v>
      </c>
    </row>
    <row r="185" spans="1:11" x14ac:dyDescent="0.25">
      <c r="A185" s="14">
        <v>182</v>
      </c>
      <c r="B185" s="36">
        <v>115</v>
      </c>
      <c r="C185" s="14">
        <v>182</v>
      </c>
      <c r="D185" s="14">
        <v>4</v>
      </c>
      <c r="E185" s="14">
        <v>112</v>
      </c>
      <c r="F185" s="14">
        <v>1</v>
      </c>
      <c r="G185" s="14" t="s">
        <v>541</v>
      </c>
      <c r="H185" s="14" t="s">
        <v>645</v>
      </c>
      <c r="J185" s="14">
        <v>1</v>
      </c>
    </row>
    <row r="186" spans="1:11" x14ac:dyDescent="0.25">
      <c r="A186" s="14">
        <v>183</v>
      </c>
      <c r="B186" s="36">
        <v>115</v>
      </c>
      <c r="C186" s="14">
        <v>183</v>
      </c>
      <c r="D186" s="14">
        <v>11</v>
      </c>
      <c r="E186" s="14">
        <v>0</v>
      </c>
      <c r="F186" s="14">
        <v>114</v>
      </c>
      <c r="G186" s="14" t="s">
        <v>1087</v>
      </c>
      <c r="H186" s="14" t="s">
        <v>646</v>
      </c>
      <c r="J186" s="14">
        <v>114</v>
      </c>
    </row>
    <row r="187" spans="1:11" ht="16.5" x14ac:dyDescent="0.25">
      <c r="A187" s="32">
        <v>184</v>
      </c>
      <c r="B187" s="36">
        <v>116</v>
      </c>
      <c r="C187" s="32">
        <v>184</v>
      </c>
      <c r="D187" s="33">
        <v>4</v>
      </c>
      <c r="E187" s="33">
        <v>133</v>
      </c>
      <c r="F187" s="35">
        <v>1</v>
      </c>
      <c r="G187" s="34" t="s">
        <v>541</v>
      </c>
      <c r="H187" s="35" t="s">
        <v>1083</v>
      </c>
      <c r="I187" s="35"/>
      <c r="J187" s="35">
        <v>1</v>
      </c>
    </row>
    <row r="188" spans="1:11" x14ac:dyDescent="0.25">
      <c r="A188" s="32">
        <v>185</v>
      </c>
      <c r="B188" s="36">
        <v>116</v>
      </c>
      <c r="C188" s="32">
        <v>185</v>
      </c>
      <c r="D188" s="33">
        <v>1</v>
      </c>
      <c r="E188" s="33">
        <v>5</v>
      </c>
      <c r="F188" s="32">
        <v>1</v>
      </c>
      <c r="G188" s="34" t="s">
        <v>539</v>
      </c>
      <c r="H188" s="32" t="s">
        <v>561</v>
      </c>
      <c r="I188" s="32"/>
      <c r="J188" s="32">
        <v>1</v>
      </c>
    </row>
    <row r="189" spans="1:11" x14ac:dyDescent="0.25">
      <c r="A189" s="32">
        <v>186</v>
      </c>
      <c r="B189" s="36">
        <v>117</v>
      </c>
      <c r="C189" s="32">
        <v>186</v>
      </c>
      <c r="D189" s="33">
        <v>4</v>
      </c>
      <c r="E189" s="32">
        <v>137</v>
      </c>
      <c r="F189" s="32">
        <v>1</v>
      </c>
      <c r="G189" s="34" t="s">
        <v>541</v>
      </c>
      <c r="H189" s="32" t="s">
        <v>1071</v>
      </c>
      <c r="I189" s="32"/>
      <c r="J189" s="32">
        <v>1</v>
      </c>
    </row>
    <row r="190" spans="1:11" x14ac:dyDescent="0.25">
      <c r="A190" s="32">
        <v>187</v>
      </c>
      <c r="B190" s="36">
        <v>117</v>
      </c>
      <c r="C190" s="32">
        <v>187</v>
      </c>
      <c r="D190" s="33">
        <v>1</v>
      </c>
      <c r="E190" s="33">
        <v>6</v>
      </c>
      <c r="F190" s="32">
        <v>1</v>
      </c>
      <c r="G190" s="34" t="s">
        <v>539</v>
      </c>
      <c r="H190" s="32" t="s">
        <v>563</v>
      </c>
      <c r="I190" s="32"/>
      <c r="J190" s="32">
        <v>1</v>
      </c>
    </row>
    <row r="191" spans="1:11" x14ac:dyDescent="0.25">
      <c r="A191" s="32">
        <v>188</v>
      </c>
      <c r="B191" s="36">
        <v>118</v>
      </c>
      <c r="C191" s="32">
        <v>188</v>
      </c>
      <c r="D191" s="33">
        <v>4</v>
      </c>
      <c r="E191" s="32">
        <v>151</v>
      </c>
      <c r="F191" s="32">
        <v>1</v>
      </c>
      <c r="G191" s="34" t="s">
        <v>541</v>
      </c>
      <c r="H191" s="32" t="s">
        <v>1072</v>
      </c>
      <c r="I191" s="32"/>
      <c r="J191" s="32">
        <v>1</v>
      </c>
    </row>
    <row r="192" spans="1:11" x14ac:dyDescent="0.25">
      <c r="A192" s="32">
        <v>189</v>
      </c>
      <c r="B192" s="36">
        <v>118</v>
      </c>
      <c r="C192" s="32">
        <v>189</v>
      </c>
      <c r="D192" s="33">
        <v>1</v>
      </c>
      <c r="E192" s="33">
        <v>8</v>
      </c>
      <c r="F192" s="32">
        <v>1</v>
      </c>
      <c r="G192" s="34" t="s">
        <v>539</v>
      </c>
      <c r="H192" s="32" t="s">
        <v>578</v>
      </c>
      <c r="I192" s="32"/>
      <c r="J192" s="32">
        <v>1</v>
      </c>
    </row>
    <row r="193" spans="1:11" ht="16.5" x14ac:dyDescent="0.25">
      <c r="A193" s="32">
        <v>190</v>
      </c>
      <c r="B193" s="36">
        <v>119</v>
      </c>
      <c r="C193" s="32">
        <v>190</v>
      </c>
      <c r="D193" s="33">
        <v>4</v>
      </c>
      <c r="E193" s="32">
        <v>164</v>
      </c>
      <c r="F193" s="35">
        <v>1</v>
      </c>
      <c r="G193" s="34" t="s">
        <v>541</v>
      </c>
      <c r="H193" s="35" t="s">
        <v>1084</v>
      </c>
      <c r="I193" s="35"/>
      <c r="J193" s="35">
        <v>1</v>
      </c>
    </row>
    <row r="194" spans="1:11" x14ac:dyDescent="0.25">
      <c r="A194" s="32">
        <v>191</v>
      </c>
      <c r="B194" s="36">
        <v>119</v>
      </c>
      <c r="C194" s="32">
        <v>191</v>
      </c>
      <c r="D194" s="33">
        <v>1</v>
      </c>
      <c r="E194" s="33">
        <v>10</v>
      </c>
      <c r="F194" s="32">
        <v>1</v>
      </c>
      <c r="G194" s="34" t="s">
        <v>539</v>
      </c>
      <c r="H194" s="32" t="s">
        <v>587</v>
      </c>
      <c r="I194" s="32"/>
      <c r="J194" s="32">
        <v>1</v>
      </c>
    </row>
    <row r="195" spans="1:11" ht="16.5" x14ac:dyDescent="0.25">
      <c r="A195" s="32">
        <v>192</v>
      </c>
      <c r="B195" s="36">
        <v>120</v>
      </c>
      <c r="C195" s="32">
        <v>192</v>
      </c>
      <c r="D195" s="33">
        <v>4</v>
      </c>
      <c r="E195" s="32">
        <v>172</v>
      </c>
      <c r="F195" s="35">
        <v>1</v>
      </c>
      <c r="G195" s="34" t="s">
        <v>541</v>
      </c>
      <c r="H195" s="35" t="s">
        <v>1085</v>
      </c>
      <c r="I195" s="35"/>
      <c r="J195" s="35">
        <v>1</v>
      </c>
    </row>
    <row r="196" spans="1:11" x14ac:dyDescent="0.25">
      <c r="A196" s="32">
        <v>193</v>
      </c>
      <c r="B196" s="36">
        <v>120</v>
      </c>
      <c r="C196" s="32">
        <v>193</v>
      </c>
      <c r="D196" s="33">
        <v>1</v>
      </c>
      <c r="E196" s="33">
        <v>11</v>
      </c>
      <c r="F196" s="32">
        <v>1</v>
      </c>
      <c r="G196" s="34" t="s">
        <v>539</v>
      </c>
      <c r="H196" s="32" t="s">
        <v>599</v>
      </c>
      <c r="I196" s="32"/>
      <c r="J196" s="32">
        <v>1</v>
      </c>
    </row>
    <row r="197" spans="1:11" ht="16.5" x14ac:dyDescent="0.25">
      <c r="A197" s="32">
        <v>194</v>
      </c>
      <c r="B197" s="36">
        <v>121</v>
      </c>
      <c r="C197" s="32">
        <v>194</v>
      </c>
      <c r="D197" s="33">
        <v>4</v>
      </c>
      <c r="E197" s="32">
        <v>185</v>
      </c>
      <c r="F197" s="35">
        <v>1</v>
      </c>
      <c r="G197" s="34" t="s">
        <v>541</v>
      </c>
      <c r="H197" s="35" t="s">
        <v>1086</v>
      </c>
      <c r="I197" s="35"/>
      <c r="J197" s="35">
        <v>1</v>
      </c>
    </row>
    <row r="198" spans="1:11" x14ac:dyDescent="0.25">
      <c r="A198" s="32">
        <v>195</v>
      </c>
      <c r="B198" s="36">
        <v>121</v>
      </c>
      <c r="C198" s="32">
        <v>195</v>
      </c>
      <c r="D198" s="33">
        <v>1</v>
      </c>
      <c r="E198" s="33">
        <v>16</v>
      </c>
      <c r="F198" s="32">
        <v>1</v>
      </c>
      <c r="G198" s="34" t="s">
        <v>539</v>
      </c>
      <c r="H198" s="32" t="s">
        <v>606</v>
      </c>
      <c r="I198" s="32"/>
      <c r="J198" s="32">
        <v>1</v>
      </c>
    </row>
    <row r="199" spans="1:11" x14ac:dyDescent="0.25">
      <c r="A199" s="32">
        <v>196</v>
      </c>
      <c r="B199" s="36">
        <v>122</v>
      </c>
      <c r="C199" s="32">
        <v>196</v>
      </c>
      <c r="D199" s="33">
        <v>4</v>
      </c>
      <c r="E199" s="32">
        <v>197</v>
      </c>
      <c r="F199" s="32">
        <v>1</v>
      </c>
      <c r="G199" s="34" t="s">
        <v>541</v>
      </c>
      <c r="H199" s="32" t="s">
        <v>1073</v>
      </c>
      <c r="I199" s="32"/>
      <c r="J199" s="32">
        <v>1</v>
      </c>
    </row>
    <row r="200" spans="1:11" x14ac:dyDescent="0.25">
      <c r="A200" s="32">
        <v>197</v>
      </c>
      <c r="B200" s="36">
        <v>122</v>
      </c>
      <c r="C200" s="32">
        <v>197</v>
      </c>
      <c r="D200" s="33">
        <v>1</v>
      </c>
      <c r="E200" s="33">
        <v>13</v>
      </c>
      <c r="F200" s="32">
        <v>1</v>
      </c>
      <c r="G200" s="34" t="s">
        <v>539</v>
      </c>
      <c r="H200" s="32" t="s">
        <v>637</v>
      </c>
      <c r="I200" s="32"/>
      <c r="J200" s="32">
        <v>1</v>
      </c>
    </row>
    <row r="201" spans="1:11" ht="16.5" x14ac:dyDescent="0.25">
      <c r="A201" s="32">
        <v>198</v>
      </c>
      <c r="B201" s="36">
        <v>123</v>
      </c>
      <c r="C201" s="32">
        <v>198</v>
      </c>
      <c r="D201" s="33">
        <v>4</v>
      </c>
      <c r="E201" s="32">
        <v>202</v>
      </c>
      <c r="F201" s="35">
        <v>1</v>
      </c>
      <c r="G201" s="34" t="s">
        <v>541</v>
      </c>
      <c r="H201" s="35" t="s">
        <v>1069</v>
      </c>
      <c r="I201" s="35"/>
      <c r="J201" s="35">
        <v>1</v>
      </c>
    </row>
    <row r="202" spans="1:11" ht="16.5" x14ac:dyDescent="0.25">
      <c r="A202" s="32">
        <v>199</v>
      </c>
      <c r="B202" s="36">
        <v>123</v>
      </c>
      <c r="C202" s="32">
        <v>199</v>
      </c>
      <c r="D202" s="32">
        <v>1</v>
      </c>
      <c r="E202" s="32">
        <v>14</v>
      </c>
      <c r="F202" s="35">
        <v>1</v>
      </c>
      <c r="G202" s="32" t="s">
        <v>539</v>
      </c>
      <c r="H202" s="35" t="s">
        <v>1070</v>
      </c>
      <c r="I202" s="35"/>
      <c r="J202" s="35">
        <v>1</v>
      </c>
    </row>
    <row r="203" spans="1:11" ht="16.5" x14ac:dyDescent="0.25">
      <c r="A203" s="14">
        <v>200</v>
      </c>
      <c r="B203" s="36">
        <v>225</v>
      </c>
      <c r="C203" s="14">
        <v>25</v>
      </c>
      <c r="D203" s="15">
        <v>34</v>
      </c>
      <c r="E203" s="15">
        <v>0</v>
      </c>
      <c r="F203" s="25">
        <v>20000</v>
      </c>
      <c r="G203" s="16" t="s">
        <v>543</v>
      </c>
      <c r="H203" s="25" t="s">
        <v>1065</v>
      </c>
      <c r="I203" s="25"/>
      <c r="J203" s="25">
        <v>80</v>
      </c>
      <c r="K203" s="25" t="s">
        <v>1108</v>
      </c>
    </row>
    <row r="204" spans="1:11" ht="16.5" x14ac:dyDescent="0.25">
      <c r="A204" s="14">
        <v>201</v>
      </c>
      <c r="B204" s="36">
        <v>226</v>
      </c>
      <c r="C204" s="14">
        <v>200</v>
      </c>
      <c r="D204" s="14">
        <v>0</v>
      </c>
      <c r="E204" s="14">
        <v>0</v>
      </c>
      <c r="F204" s="14">
        <v>0</v>
      </c>
      <c r="G204" s="14" t="s">
        <v>1143</v>
      </c>
      <c r="H204" s="38" t="s">
        <v>1144</v>
      </c>
    </row>
    <row r="205" spans="1:11" ht="16.5" x14ac:dyDescent="0.25">
      <c r="A205" s="14">
        <v>202</v>
      </c>
      <c r="B205" s="36">
        <v>227</v>
      </c>
      <c r="C205" s="14">
        <v>201</v>
      </c>
      <c r="D205" s="14">
        <v>0</v>
      </c>
      <c r="E205" s="14">
        <v>0</v>
      </c>
      <c r="F205" s="14">
        <v>0</v>
      </c>
      <c r="G205" s="14" t="s">
        <v>1143</v>
      </c>
      <c r="H205" s="38" t="s">
        <v>1144</v>
      </c>
    </row>
    <row r="206" spans="1:11" ht="16.5" x14ac:dyDescent="0.25">
      <c r="A206" s="14">
        <v>203</v>
      </c>
      <c r="B206" s="36">
        <v>228</v>
      </c>
      <c r="C206" s="14">
        <v>202</v>
      </c>
      <c r="D206" s="14">
        <v>0</v>
      </c>
      <c r="E206" s="14">
        <v>0</v>
      </c>
      <c r="F206" s="14">
        <v>0</v>
      </c>
      <c r="G206" s="14" t="s">
        <v>1143</v>
      </c>
      <c r="H206" s="38" t="s">
        <v>1144</v>
      </c>
    </row>
    <row r="207" spans="1:11" ht="16.5" x14ac:dyDescent="0.25">
      <c r="A207" s="14">
        <v>204</v>
      </c>
      <c r="B207" s="36">
        <v>229</v>
      </c>
      <c r="C207" s="14">
        <v>203</v>
      </c>
      <c r="D207" s="14">
        <v>0</v>
      </c>
      <c r="E207" s="14">
        <v>0</v>
      </c>
      <c r="F207" s="14">
        <v>0</v>
      </c>
      <c r="G207" s="14" t="s">
        <v>1143</v>
      </c>
      <c r="H207" s="38" t="s">
        <v>1144</v>
      </c>
    </row>
    <row r="208" spans="1:11" ht="16.5" x14ac:dyDescent="0.25">
      <c r="A208" s="14">
        <v>205</v>
      </c>
      <c r="B208" s="36">
        <v>230</v>
      </c>
      <c r="C208" s="14">
        <v>204</v>
      </c>
      <c r="D208" s="14">
        <v>0</v>
      </c>
      <c r="E208" s="14">
        <v>0</v>
      </c>
      <c r="F208" s="14">
        <v>0</v>
      </c>
      <c r="G208" s="14" t="s">
        <v>1143</v>
      </c>
      <c r="H208" s="38" t="s">
        <v>1144</v>
      </c>
    </row>
  </sheetData>
  <phoneticPr fontId="1" type="noConversion"/>
  <conditionalFormatting sqref="A1">
    <cfRule type="duplicateValues" dxfId="24" priority="39"/>
  </conditionalFormatting>
  <conditionalFormatting sqref="D189 D191 D193 D195 D197 D199 D201">
    <cfRule type="containsText" dxfId="23" priority="25" operator="containsText" text="all">
      <formula>NOT(ISERROR(SEARCH("all",D189)))</formula>
    </cfRule>
    <cfRule type="containsText" dxfId="22" priority="26" operator="containsText" text="nodata">
      <formula>NOT(ISERROR(SEARCH("nodata",D189)))</formula>
    </cfRule>
  </conditionalFormatting>
  <conditionalFormatting sqref="D190:E190">
    <cfRule type="containsText" dxfId="21" priority="17" operator="containsText" text="all">
      <formula>NOT(ISERROR(SEARCH("all",D190)))</formula>
    </cfRule>
    <cfRule type="containsText" dxfId="20" priority="18" operator="containsText" text="nodata">
      <formula>NOT(ISERROR(SEARCH("nodata",D190)))</formula>
    </cfRule>
  </conditionalFormatting>
  <conditionalFormatting sqref="D192:E192">
    <cfRule type="containsText" dxfId="19" priority="15" operator="containsText" text="all">
      <formula>NOT(ISERROR(SEARCH("all",D192)))</formula>
    </cfRule>
    <cfRule type="containsText" dxfId="18" priority="16" operator="containsText" text="nodata">
      <formula>NOT(ISERROR(SEARCH("nodata",D192)))</formula>
    </cfRule>
  </conditionalFormatting>
  <conditionalFormatting sqref="D194:E194">
    <cfRule type="containsText" dxfId="17" priority="13" operator="containsText" text="all">
      <formula>NOT(ISERROR(SEARCH("all",D194)))</formula>
    </cfRule>
    <cfRule type="containsText" dxfId="16" priority="14" operator="containsText" text="nodata">
      <formula>NOT(ISERROR(SEARCH("nodata",D194)))</formula>
    </cfRule>
  </conditionalFormatting>
  <conditionalFormatting sqref="D196:E196">
    <cfRule type="containsText" dxfId="15" priority="11" operator="containsText" text="all">
      <formula>NOT(ISERROR(SEARCH("all",D196)))</formula>
    </cfRule>
    <cfRule type="containsText" dxfId="14" priority="12" operator="containsText" text="nodata">
      <formula>NOT(ISERROR(SEARCH("nodata",D196)))</formula>
    </cfRule>
  </conditionalFormatting>
  <conditionalFormatting sqref="D198:E198">
    <cfRule type="containsText" dxfId="13" priority="9" operator="containsText" text="all">
      <formula>NOT(ISERROR(SEARCH("all",D198)))</formula>
    </cfRule>
    <cfRule type="containsText" dxfId="12" priority="10" operator="containsText" text="nodata">
      <formula>NOT(ISERROR(SEARCH("nodata",D198)))</formula>
    </cfRule>
  </conditionalFormatting>
  <conditionalFormatting sqref="D200:E200">
    <cfRule type="containsText" dxfId="11" priority="3" operator="containsText" text="all">
      <formula>NOT(ISERROR(SEARCH("all",D200)))</formula>
    </cfRule>
    <cfRule type="containsText" dxfId="10" priority="4" operator="containsText" text="nodata">
      <formula>NOT(ISERROR(SEARCH("nodata",D200)))</formula>
    </cfRule>
  </conditionalFormatting>
  <conditionalFormatting sqref="D4:F156">
    <cfRule type="containsText" dxfId="9" priority="27" operator="containsText" text="all">
      <formula>NOT(ISERROR(SEARCH("all",D4)))</formula>
    </cfRule>
    <cfRule type="containsText" dxfId="8" priority="28" operator="containsText" text="nodata">
      <formula>NOT(ISERROR(SEARCH("nodata",D4)))</formula>
    </cfRule>
  </conditionalFormatting>
  <conditionalFormatting sqref="D187:F187 D188:E188">
    <cfRule type="containsText" dxfId="7" priority="21" operator="containsText" text="all">
      <formula>NOT(ISERROR(SEARCH("all",D187)))</formula>
    </cfRule>
    <cfRule type="containsText" dxfId="6" priority="22" operator="containsText" text="nodata">
      <formula>NOT(ISERROR(SEARCH("nodata",D187)))</formula>
    </cfRule>
  </conditionalFormatting>
  <conditionalFormatting sqref="D203:F203">
    <cfRule type="containsText" dxfId="5" priority="5" operator="containsText" text="all">
      <formula>NOT(ISERROR(SEARCH("all",D203)))</formula>
    </cfRule>
    <cfRule type="containsText" dxfId="4" priority="6" operator="containsText" text="nodata">
      <formula>NOT(ISERROR(SEARCH("nodata",D203)))</formula>
    </cfRule>
  </conditionalFormatting>
  <conditionalFormatting sqref="I3">
    <cfRule type="containsText" dxfId="3" priority="1" operator="containsText" text="all">
      <formula>NOT(ISERROR(SEARCH("all",I3)))</formula>
    </cfRule>
    <cfRule type="containsText" dxfId="2" priority="2" operator="containsText" text="nodata">
      <formula>NOT(ISERROR(SEARCH("nodata",I3)))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F893-1261-4CBD-BCD5-3E7544A55EE6}">
  <dimension ref="A1:C32"/>
  <sheetViews>
    <sheetView workbookViewId="0">
      <selection activeCell="C1" sqref="C1:C3"/>
    </sheetView>
  </sheetViews>
  <sheetFormatPr defaultRowHeight="15" x14ac:dyDescent="0.25"/>
  <cols>
    <col min="1" max="1" width="6.7109375" bestFit="1" customWidth="1"/>
    <col min="3" max="3" width="12.7109375" bestFit="1" customWidth="1"/>
  </cols>
  <sheetData>
    <row r="1" spans="1:3" x14ac:dyDescent="0.25">
      <c r="A1" s="2" t="s">
        <v>254</v>
      </c>
      <c r="B1" s="2" t="s">
        <v>255</v>
      </c>
      <c r="C1" s="2" t="s">
        <v>256</v>
      </c>
    </row>
    <row r="2" spans="1:3" x14ac:dyDescent="0.25">
      <c r="A2" s="1" t="s">
        <v>24</v>
      </c>
      <c r="B2" s="1" t="s">
        <v>25</v>
      </c>
      <c r="C2" s="2" t="s">
        <v>25</v>
      </c>
    </row>
    <row r="3" spans="1:3" x14ac:dyDescent="0.25">
      <c r="A3" s="4" t="s">
        <v>26</v>
      </c>
      <c r="B3" s="1" t="s">
        <v>257</v>
      </c>
      <c r="C3" s="4" t="s">
        <v>26</v>
      </c>
    </row>
    <row r="4" spans="1:3" x14ac:dyDescent="0.25">
      <c r="A4" s="9">
        <v>0</v>
      </c>
      <c r="B4" s="10" t="s">
        <v>15</v>
      </c>
      <c r="C4" s="9" t="str">
        <f t="shared" ref="C4:C32" si="0">"fishkind_"&amp;A4</f>
        <v>fishkind_0</v>
      </c>
    </row>
    <row r="5" spans="1:3" x14ac:dyDescent="0.25">
      <c r="A5" s="9">
        <v>1</v>
      </c>
      <c r="B5" s="10" t="s">
        <v>63</v>
      </c>
      <c r="C5" s="9" t="str">
        <f t="shared" si="0"/>
        <v>fishkind_1</v>
      </c>
    </row>
    <row r="6" spans="1:3" x14ac:dyDescent="0.25">
      <c r="A6" s="9">
        <v>2</v>
      </c>
      <c r="B6" s="10" t="s">
        <v>37</v>
      </c>
      <c r="C6" s="9" t="str">
        <f t="shared" si="0"/>
        <v>fishkind_2</v>
      </c>
    </row>
    <row r="7" spans="1:3" x14ac:dyDescent="0.25">
      <c r="A7" s="9">
        <v>3</v>
      </c>
      <c r="B7" s="10" t="s">
        <v>47</v>
      </c>
      <c r="C7" s="9" t="str">
        <f t="shared" si="0"/>
        <v>fishkind_3</v>
      </c>
    </row>
    <row r="8" spans="1:3" x14ac:dyDescent="0.25">
      <c r="A8" s="9">
        <v>4</v>
      </c>
      <c r="B8" s="10" t="s">
        <v>87</v>
      </c>
      <c r="C8" s="9" t="str">
        <f t="shared" si="0"/>
        <v>fishkind_4</v>
      </c>
    </row>
    <row r="9" spans="1:3" x14ac:dyDescent="0.25">
      <c r="A9" s="9">
        <v>5</v>
      </c>
      <c r="B9" s="11" t="s">
        <v>258</v>
      </c>
      <c r="C9" s="9" t="str">
        <f t="shared" si="0"/>
        <v>fishkind_5</v>
      </c>
    </row>
    <row r="10" spans="1:3" x14ac:dyDescent="0.25">
      <c r="A10" s="9">
        <v>6</v>
      </c>
      <c r="B10" s="11" t="s">
        <v>259</v>
      </c>
      <c r="C10" s="9" t="str">
        <f t="shared" si="0"/>
        <v>fishkind_6</v>
      </c>
    </row>
    <row r="11" spans="1:3" x14ac:dyDescent="0.25">
      <c r="A11" s="9">
        <v>7</v>
      </c>
      <c r="B11" s="10" t="s">
        <v>52</v>
      </c>
      <c r="C11" s="9" t="str">
        <f t="shared" si="0"/>
        <v>fishkind_7</v>
      </c>
    </row>
    <row r="12" spans="1:3" x14ac:dyDescent="0.25">
      <c r="A12" s="9">
        <v>8</v>
      </c>
      <c r="B12" s="10" t="s">
        <v>92</v>
      </c>
      <c r="C12" s="9" t="str">
        <f t="shared" si="0"/>
        <v>fishkind_8</v>
      </c>
    </row>
    <row r="13" spans="1:3" x14ac:dyDescent="0.25">
      <c r="A13" s="9">
        <v>9</v>
      </c>
      <c r="B13" s="10" t="s">
        <v>73</v>
      </c>
      <c r="C13" s="9" t="str">
        <f t="shared" si="0"/>
        <v>fishkind_9</v>
      </c>
    </row>
    <row r="14" spans="1:3" x14ac:dyDescent="0.25">
      <c r="A14" s="9">
        <v>10</v>
      </c>
      <c r="B14" s="10" t="s">
        <v>81</v>
      </c>
      <c r="C14" s="9" t="str">
        <f t="shared" si="0"/>
        <v>fishkind_10</v>
      </c>
    </row>
    <row r="15" spans="1:3" x14ac:dyDescent="0.25">
      <c r="A15" s="9">
        <v>11</v>
      </c>
      <c r="B15" s="10" t="s">
        <v>260</v>
      </c>
      <c r="C15" s="9" t="str">
        <f t="shared" si="0"/>
        <v>fishkind_11</v>
      </c>
    </row>
    <row r="16" spans="1:3" x14ac:dyDescent="0.25">
      <c r="A16" s="9">
        <v>12</v>
      </c>
      <c r="B16" s="10" t="s">
        <v>97</v>
      </c>
      <c r="C16" s="9" t="str">
        <f t="shared" si="0"/>
        <v>fishkind_12</v>
      </c>
    </row>
    <row r="17" spans="1:3" x14ac:dyDescent="0.25">
      <c r="A17" s="9">
        <v>13</v>
      </c>
      <c r="B17" s="10" t="s">
        <v>119</v>
      </c>
      <c r="C17" s="9" t="str">
        <f t="shared" si="0"/>
        <v>fishkind_13</v>
      </c>
    </row>
    <row r="18" spans="1:3" x14ac:dyDescent="0.25">
      <c r="A18" s="9">
        <v>14</v>
      </c>
      <c r="B18" s="10" t="s">
        <v>129</v>
      </c>
      <c r="C18" s="9" t="str">
        <f t="shared" si="0"/>
        <v>fishkind_14</v>
      </c>
    </row>
    <row r="19" spans="1:3" x14ac:dyDescent="0.25">
      <c r="A19" s="9">
        <v>15</v>
      </c>
      <c r="B19" s="10" t="s">
        <v>133</v>
      </c>
      <c r="C19" s="9" t="str">
        <f t="shared" si="0"/>
        <v>fishkind_15</v>
      </c>
    </row>
    <row r="20" spans="1:3" x14ac:dyDescent="0.25">
      <c r="A20" s="9">
        <v>16</v>
      </c>
      <c r="B20" s="10" t="s">
        <v>125</v>
      </c>
      <c r="C20" s="9" t="str">
        <f t="shared" si="0"/>
        <v>fishkind_16</v>
      </c>
    </row>
    <row r="21" spans="1:3" x14ac:dyDescent="0.25">
      <c r="A21" s="9">
        <v>17</v>
      </c>
      <c r="B21" s="10" t="s">
        <v>123</v>
      </c>
      <c r="C21" s="9" t="str">
        <f t="shared" si="0"/>
        <v>fishkind_17</v>
      </c>
    </row>
    <row r="22" spans="1:3" x14ac:dyDescent="0.25">
      <c r="A22" s="9">
        <v>18</v>
      </c>
      <c r="B22" s="10" t="s">
        <v>106</v>
      </c>
      <c r="C22" s="9" t="str">
        <f t="shared" si="0"/>
        <v>fishkind_18</v>
      </c>
    </row>
    <row r="23" spans="1:3" x14ac:dyDescent="0.25">
      <c r="A23" s="9">
        <v>19</v>
      </c>
      <c r="B23" s="10" t="s">
        <v>110</v>
      </c>
      <c r="C23" s="9" t="str">
        <f t="shared" si="0"/>
        <v>fishkind_19</v>
      </c>
    </row>
    <row r="24" spans="1:3" x14ac:dyDescent="0.25">
      <c r="A24" s="9">
        <v>20</v>
      </c>
      <c r="B24" s="10" t="s">
        <v>261</v>
      </c>
      <c r="C24" s="9" t="str">
        <f t="shared" si="0"/>
        <v>fishkind_20</v>
      </c>
    </row>
    <row r="25" spans="1:3" x14ac:dyDescent="0.25">
      <c r="A25" s="9">
        <v>21</v>
      </c>
      <c r="B25" s="12" t="s">
        <v>262</v>
      </c>
      <c r="C25" s="9" t="str">
        <f t="shared" si="0"/>
        <v>fishkind_21</v>
      </c>
    </row>
    <row r="26" spans="1:3" x14ac:dyDescent="0.25">
      <c r="A26" s="9">
        <v>22</v>
      </c>
      <c r="B26" s="12" t="s">
        <v>263</v>
      </c>
      <c r="C26" s="9" t="str">
        <f t="shared" si="0"/>
        <v>fishkind_22</v>
      </c>
    </row>
    <row r="27" spans="1:3" x14ac:dyDescent="0.25">
      <c r="A27" s="9">
        <v>23</v>
      </c>
      <c r="B27" s="12" t="s">
        <v>264</v>
      </c>
      <c r="C27" s="9" t="str">
        <f t="shared" si="0"/>
        <v>fishkind_23</v>
      </c>
    </row>
    <row r="28" spans="1:3" x14ac:dyDescent="0.25">
      <c r="A28" s="9">
        <v>24</v>
      </c>
      <c r="B28" s="12" t="s">
        <v>265</v>
      </c>
      <c r="C28" s="9" t="str">
        <f t="shared" si="0"/>
        <v>fishkind_24</v>
      </c>
    </row>
    <row r="29" spans="1:3" x14ac:dyDescent="0.25">
      <c r="A29" s="9">
        <v>25</v>
      </c>
      <c r="B29" s="12" t="s">
        <v>266</v>
      </c>
      <c r="C29" s="9" t="str">
        <f t="shared" si="0"/>
        <v>fishkind_25</v>
      </c>
    </row>
    <row r="30" spans="1:3" x14ac:dyDescent="0.25">
      <c r="A30" s="9">
        <v>26</v>
      </c>
      <c r="B30" s="12" t="s">
        <v>267</v>
      </c>
      <c r="C30" s="9" t="str">
        <f t="shared" si="0"/>
        <v>fishkind_26</v>
      </c>
    </row>
    <row r="31" spans="1:3" x14ac:dyDescent="0.25">
      <c r="A31" s="9">
        <v>27</v>
      </c>
      <c r="B31" s="12" t="s">
        <v>268</v>
      </c>
      <c r="C31" s="9" t="str">
        <f t="shared" si="0"/>
        <v>fishkind_27</v>
      </c>
    </row>
    <row r="32" spans="1:3" x14ac:dyDescent="0.25">
      <c r="A32" s="9">
        <v>999</v>
      </c>
      <c r="B32" s="12" t="s">
        <v>1045</v>
      </c>
      <c r="C32" s="9" t="str">
        <f t="shared" si="0"/>
        <v>fishkind_999</v>
      </c>
    </row>
  </sheetData>
  <phoneticPr fontId="1" type="noConversion"/>
  <conditionalFormatting sqref="A3:C3">
    <cfRule type="containsText" dxfId="1" priority="1" operator="containsText" text="all">
      <formula>NOT(ISERROR(SEARCH("all",A3)))</formula>
    </cfRule>
    <cfRule type="containsText" dxfId="0" priority="2" operator="containsText" text="nodata">
      <formula>NOT(ISERROR(SEARCH("nodata",A3)))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FishInfo</vt:lpstr>
      <vt:lpstr>FishUnlockCondition</vt:lpstr>
      <vt:lpstr>FishGroup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2026-02-11T09:54:32Z</dcterms:modified>
</cp:coreProperties>
</file>